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50.0.179\정보사업본부\마케팅폴더(정보사업본부)\1.수시 확인 자료\"/>
    </mc:Choice>
  </mc:AlternateContent>
  <bookViews>
    <workbookView xWindow="0" yWindow="0" windowWidth="28800" windowHeight="12135"/>
  </bookViews>
  <sheets>
    <sheet name="26.04.02" sheetId="10" r:id="rId1"/>
    <sheet name="26.03.26" sheetId="8" r:id="rId2"/>
    <sheet name="26.03.19" sheetId="7" r:id="rId3"/>
    <sheet name="26.03.12" sheetId="1" r:id="rId4"/>
    <sheet name="26.03.05" sheetId="2" r:id="rId5"/>
    <sheet name="26.02.27" sheetId="3" r:id="rId6"/>
    <sheet name="26.02.20" sheetId="4" r:id="rId7"/>
    <sheet name="26.02.13" sheetId="5" r:id="rId8"/>
    <sheet name="26.02.06" sheetId="6" r:id="rId9"/>
  </sheets>
  <definedNames>
    <definedName name="_xlnm._FilterDatabase" localSheetId="6" hidden="1">'26.02.20'!$B$32:$J$64</definedName>
    <definedName name="_xlnm._FilterDatabase" localSheetId="5" hidden="1">'26.02.27'!$B$32:$J$63</definedName>
    <definedName name="_xlnm._FilterDatabase" localSheetId="4" hidden="1">'26.03.05'!$B$36:$J$65</definedName>
    <definedName name="_xlnm._FilterDatabase" localSheetId="3" hidden="1">'26.03.12'!$B$33:$J$57</definedName>
    <definedName name="_xlnm._FilterDatabase" localSheetId="2" hidden="1">'26.03.19'!$B$40:$J$63</definedName>
    <definedName name="_xlnm._FilterDatabase" localSheetId="1" hidden="1">'26.03.26'!$B$41:$J$63</definedName>
    <definedName name="_xlnm._FilterDatabase" localSheetId="0" hidden="1">'26.04.02'!$B$35:$J$57</definedName>
    <definedName name="Z_30923492_E2E4_4C9E_80D3_2EF073CDADDD_.wvu.FilterData" localSheetId="3" hidden="1">'26.03.12'!$B$33:$J$56</definedName>
    <definedName name="Z_30923492_E2E4_4C9E_80D3_2EF073CDADDD_.wvu.FilterData" localSheetId="2" hidden="1">'26.03.19'!$B$40:$J$62</definedName>
    <definedName name="Z_30923492_E2E4_4C9E_80D3_2EF073CDADDD_.wvu.FilterData" localSheetId="1" hidden="1">'26.03.26'!$B$41:$J$62</definedName>
    <definedName name="Z_30923492_E2E4_4C9E_80D3_2EF073CDADDD_.wvu.FilterData" localSheetId="0" hidden="1">'26.04.02'!$B$35:$J$56</definedName>
    <definedName name="Z_7A761F1B_9457_4EED_8EFC_CFF5C63E791B_.wvu.FilterData" localSheetId="6" hidden="1">'26.02.20'!$B$32:$J$64</definedName>
    <definedName name="Z_7A761F1B_9457_4EED_8EFC_CFF5C63E791B_.wvu.FilterData" localSheetId="5" hidden="1">'26.02.27'!$B$32:$J$63</definedName>
    <definedName name="Z_7A761F1B_9457_4EED_8EFC_CFF5C63E791B_.wvu.FilterData" localSheetId="4" hidden="1">'26.03.05'!$B$36:$J$65</definedName>
    <definedName name="Z_7A761F1B_9457_4EED_8EFC_CFF5C63E791B_.wvu.FilterData" localSheetId="3" hidden="1">'26.03.12'!$B$33:$J$56</definedName>
    <definedName name="Z_7A761F1B_9457_4EED_8EFC_CFF5C63E791B_.wvu.FilterData" localSheetId="2" hidden="1">'26.03.19'!$B$40:$J$62</definedName>
    <definedName name="Z_7A761F1B_9457_4EED_8EFC_CFF5C63E791B_.wvu.FilterData" localSheetId="1" hidden="1">'26.03.26'!$B$41:$J$62</definedName>
    <definedName name="Z_7A761F1B_9457_4EED_8EFC_CFF5C63E791B_.wvu.FilterData" localSheetId="0" hidden="1">'26.04.02'!$B$35:$J$56</definedName>
  </definedNames>
  <calcPr calcId="162913"/>
  <customWorkbookViews>
    <customWorkbookView name="infomax - 사용자 보기" guid="{7A761F1B-9457-4EED-8EFC-CFF5C63E791B}" mergeInterval="0" personalView="1" maximized="1" xWindow="1" yWindow="1" windowWidth="1920" windowHeight="834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0" l="1"/>
  <c r="M14" i="10"/>
  <c r="M13" i="10"/>
  <c r="M12" i="10"/>
  <c r="M11" i="10"/>
  <c r="M10" i="10"/>
  <c r="M9" i="10"/>
  <c r="M8" i="10"/>
  <c r="M7" i="10"/>
  <c r="D5" i="10"/>
  <c r="D4" i="10"/>
  <c r="M16" i="10" l="1"/>
  <c r="M8" i="8"/>
  <c r="D5" i="8"/>
  <c r="M15" i="8"/>
  <c r="M14" i="8"/>
  <c r="M13" i="8"/>
  <c r="M12" i="8"/>
  <c r="M11" i="8"/>
  <c r="M10" i="8"/>
  <c r="M9" i="8"/>
  <c r="M7" i="8"/>
  <c r="D4" i="8"/>
  <c r="M16" i="8" l="1"/>
  <c r="D5" i="7"/>
  <c r="N9" i="7" l="1"/>
  <c r="N8" i="7"/>
  <c r="N7" i="7"/>
  <c r="N15" i="7"/>
  <c r="N14" i="7"/>
  <c r="N13" i="7"/>
  <c r="N12" i="7"/>
  <c r="N11" i="7"/>
  <c r="N10" i="7"/>
  <c r="D4" i="7"/>
  <c r="N16" i="7" l="1"/>
  <c r="D5" i="1"/>
  <c r="N15" i="1" l="1"/>
  <c r="N14" i="1"/>
  <c r="N13" i="1"/>
  <c r="N12" i="1"/>
  <c r="N11" i="1"/>
  <c r="N10" i="1"/>
  <c r="N9" i="1"/>
  <c r="N8" i="1"/>
  <c r="N7" i="1"/>
  <c r="D4" i="1"/>
  <c r="N11" i="2"/>
  <c r="N16" i="1" l="1"/>
  <c r="N15" i="2"/>
  <c r="N14" i="2"/>
  <c r="N13" i="2"/>
  <c r="N12" i="2"/>
  <c r="N10" i="2"/>
  <c r="N9" i="2"/>
  <c r="N8" i="2"/>
  <c r="N7" i="2"/>
  <c r="D5" i="2"/>
  <c r="D4" i="2"/>
  <c r="N16" i="2" l="1"/>
  <c r="D5" i="3"/>
  <c r="N13" i="3" l="1"/>
  <c r="N7" i="3"/>
  <c r="N9" i="3"/>
  <c r="N8" i="3"/>
  <c r="D4" i="3"/>
  <c r="N15" i="3"/>
  <c r="N14" i="3"/>
  <c r="N11" i="3"/>
  <c r="N10" i="3"/>
  <c r="N12" i="3"/>
  <c r="N16" i="3" l="1"/>
  <c r="D5" i="4"/>
  <c r="D4" i="4"/>
  <c r="D5" i="5"/>
  <c r="D4" i="5" l="1"/>
  <c r="D5" i="6" l="1"/>
  <c r="D4" i="6"/>
</calcChain>
</file>

<file path=xl/sharedStrings.xml><?xml version="1.0" encoding="utf-8"?>
<sst xmlns="http://schemas.openxmlformats.org/spreadsheetml/2006/main" count="3516" uniqueCount="553">
  <si>
    <t xml:space="preserve">1. 금주 해지 건수 </t>
    <phoneticPr fontId="1" type="noConversion"/>
  </si>
  <si>
    <t>2. 금주 청구보류 건수</t>
    <phoneticPr fontId="1" type="noConversion"/>
  </si>
  <si>
    <t>3. 해지 확정 리스트</t>
    <phoneticPr fontId="1" type="noConversion"/>
  </si>
  <si>
    <t>접수일</t>
    <phoneticPr fontId="1" type="noConversion"/>
  </si>
  <si>
    <t>담당자</t>
    <phoneticPr fontId="1" type="noConversion"/>
  </si>
  <si>
    <t>고객번호</t>
    <phoneticPr fontId="1" type="noConversion"/>
  </si>
  <si>
    <t>해지 사유</t>
    <phoneticPr fontId="1" type="noConversion"/>
  </si>
  <si>
    <t>해지일</t>
    <phoneticPr fontId="1" type="noConversion"/>
  </si>
  <si>
    <t>고객사</t>
    <phoneticPr fontId="1" type="noConversion"/>
  </si>
  <si>
    <t>고객 부서</t>
    <phoneticPr fontId="1" type="noConversion"/>
  </si>
  <si>
    <t>위약금</t>
    <phoneticPr fontId="1" type="noConversion"/>
  </si>
  <si>
    <t>4. 청구보류 고객 리스트</t>
    <phoneticPr fontId="1" type="noConversion"/>
  </si>
  <si>
    <t>구분</t>
    <phoneticPr fontId="1" type="noConversion"/>
  </si>
  <si>
    <t>보류 사유</t>
    <phoneticPr fontId="1" type="noConversion"/>
  </si>
  <si>
    <t>종료일</t>
    <phoneticPr fontId="1" type="noConversion"/>
  </si>
  <si>
    <t>26.01.16</t>
  </si>
  <si>
    <t>이홍민</t>
  </si>
  <si>
    <t>E180264</t>
  </si>
  <si>
    <t>업무변경</t>
  </si>
  <si>
    <t>2026.01.31</t>
  </si>
  <si>
    <t>씨제이이엔엠</t>
  </si>
  <si>
    <t>자금팀</t>
  </si>
  <si>
    <t>26.01.16</t>
    <phoneticPr fontId="1" type="noConversion"/>
  </si>
  <si>
    <t>활용저조</t>
  </si>
  <si>
    <t>엘엑스인터내셔널</t>
  </si>
  <si>
    <t>경영기획팀</t>
  </si>
  <si>
    <t>E131263</t>
  </si>
  <si>
    <t>사용자퇴사</t>
  </si>
  <si>
    <t>에스케이에코플랜트</t>
  </si>
  <si>
    <t>재무담당</t>
  </si>
  <si>
    <t>E131340</t>
  </si>
  <si>
    <t>26.01.23</t>
  </si>
  <si>
    <t>이상철</t>
  </si>
  <si>
    <t>E240077</t>
  </si>
  <si>
    <t>코리아에셋투자증권</t>
  </si>
  <si>
    <t>FICC본부</t>
  </si>
  <si>
    <t>26.01.26</t>
  </si>
  <si>
    <t>E040132</t>
  </si>
  <si>
    <t>에이치디현대인프라코어</t>
  </si>
  <si>
    <t>임원(사장)</t>
  </si>
  <si>
    <t>26.01.27</t>
  </si>
  <si>
    <t>박혜리</t>
  </si>
  <si>
    <t>E110668</t>
  </si>
  <si>
    <t>부서폐지</t>
  </si>
  <si>
    <t>아이비케이연금보험</t>
  </si>
  <si>
    <t>리스크관리팀</t>
  </si>
  <si>
    <t>26.01.29</t>
  </si>
  <si>
    <t>E120791</t>
  </si>
  <si>
    <t>동양생명보험</t>
  </si>
  <si>
    <t>투자기획팀</t>
  </si>
  <si>
    <t>25.10.22</t>
  </si>
  <si>
    <t>E130785</t>
  </si>
  <si>
    <t>2026.02.28</t>
  </si>
  <si>
    <t>삼성화재해상보험</t>
  </si>
  <si>
    <t>재무기획파트</t>
  </si>
  <si>
    <t>E150214</t>
  </si>
  <si>
    <t>부산대학교산학협력단</t>
  </si>
  <si>
    <t>경제통상연구원</t>
  </si>
  <si>
    <t>26.01.12 (25.12.30)</t>
  </si>
  <si>
    <t>정진영</t>
  </si>
  <si>
    <t>E220017</t>
  </si>
  <si>
    <t>흥국증권</t>
  </si>
  <si>
    <t>채권금융1팀</t>
  </si>
  <si>
    <t>26.01.12</t>
  </si>
  <si>
    <t>신무길</t>
  </si>
  <si>
    <t>E240034</t>
  </si>
  <si>
    <t>계약만료</t>
  </si>
  <si>
    <t>한국투자증권</t>
  </si>
  <si>
    <t>사모펀드운용부</t>
  </si>
  <si>
    <t>E220640</t>
  </si>
  <si>
    <t>채권상품부</t>
  </si>
  <si>
    <t>E180689</t>
  </si>
  <si>
    <t>엔에이치투자증권</t>
  </si>
  <si>
    <t>채권운용부</t>
  </si>
  <si>
    <t>25.07.07</t>
  </si>
  <si>
    <t>조홍희&lt;-이상철</t>
  </si>
  <si>
    <t>E190489</t>
  </si>
  <si>
    <t>사용자휴직</t>
  </si>
  <si>
    <t>25년 08월</t>
  </si>
  <si>
    <t>26년 02월</t>
  </si>
  <si>
    <t>국민연금공단</t>
  </si>
  <si>
    <t>운용전략실 투자전략팀</t>
  </si>
  <si>
    <t>25.07.29</t>
  </si>
  <si>
    <t>정진영&lt;-신무길</t>
  </si>
  <si>
    <t>E190803</t>
  </si>
  <si>
    <t>현대차증권</t>
  </si>
  <si>
    <t>멀티솔루션팀</t>
  </si>
  <si>
    <t>25.08.18</t>
  </si>
  <si>
    <t>E090614</t>
  </si>
  <si>
    <t>사용자이동</t>
  </si>
  <si>
    <t>뱅크오브아메리카(영업소)</t>
  </si>
  <si>
    <t>Global Markets</t>
  </si>
  <si>
    <t>25.09.04</t>
  </si>
  <si>
    <t>E230348</t>
  </si>
  <si>
    <t>25년 09월</t>
  </si>
  <si>
    <t>도이치은행서울지점</t>
  </si>
  <si>
    <t>FIC Trading</t>
  </si>
  <si>
    <t>25.11.21</t>
  </si>
  <si>
    <t>E230232</t>
  </si>
  <si>
    <t>사용자부서이동</t>
  </si>
  <si>
    <t>25년 12월</t>
  </si>
  <si>
    <t>운용전략부</t>
  </si>
  <si>
    <t>25.11.24</t>
  </si>
  <si>
    <t>조홍희</t>
  </si>
  <si>
    <t>E210537</t>
  </si>
  <si>
    <t>위탁투자팀</t>
  </si>
  <si>
    <t>E180629</t>
  </si>
  <si>
    <t>한화생명보험</t>
  </si>
  <si>
    <t>25.11.26</t>
  </si>
  <si>
    <t>E060247</t>
  </si>
  <si>
    <t>26년 03월</t>
  </si>
  <si>
    <t>제이피모간체이스은행 서울지점</t>
  </si>
  <si>
    <t>금융시장운용부</t>
  </si>
  <si>
    <t>25.11.27</t>
  </si>
  <si>
    <t>E220188</t>
  </si>
  <si>
    <t>한국스탠다드차타드은행</t>
  </si>
  <si>
    <t>증권관리부</t>
  </si>
  <si>
    <t>25.12.17</t>
  </si>
  <si>
    <t>E150501</t>
  </si>
  <si>
    <t>26년 01월</t>
  </si>
  <si>
    <t>공무원연금공단</t>
  </si>
  <si>
    <t>자금운용단 해외투자팀</t>
  </si>
  <si>
    <t>25.12.23</t>
  </si>
  <si>
    <t>E210533</t>
  </si>
  <si>
    <t>해외주식실 해외주식위탁팀</t>
  </si>
  <si>
    <t>E250134</t>
  </si>
  <si>
    <t>부국증권</t>
  </si>
  <si>
    <t>인수금융부</t>
  </si>
  <si>
    <t>25.12.30</t>
  </si>
  <si>
    <t>E110688</t>
  </si>
  <si>
    <t>전략운용본부소속</t>
  </si>
  <si>
    <t>E150999</t>
  </si>
  <si>
    <t>Global 채권Sales부</t>
  </si>
  <si>
    <t>E190379</t>
  </si>
  <si>
    <t>26.01.06</t>
  </si>
  <si>
    <t>E150971</t>
  </si>
  <si>
    <t>26년 04월</t>
  </si>
  <si>
    <t>사립학교교직원연금공단</t>
  </si>
  <si>
    <t>리스크법무실</t>
  </si>
  <si>
    <t>E160487</t>
  </si>
  <si>
    <t>아이엠증권</t>
  </si>
  <si>
    <t>FI운용부(채권사업1본부장)</t>
  </si>
  <si>
    <t>26.01.14</t>
  </si>
  <si>
    <t>E200231</t>
  </si>
  <si>
    <t>CM팀</t>
  </si>
  <si>
    <t>26.01.21</t>
  </si>
  <si>
    <t>E170586</t>
  </si>
  <si>
    <t>아이엔지증권 서울지점</t>
  </si>
  <si>
    <t>금융시장부</t>
  </si>
  <si>
    <t>E170340</t>
  </si>
  <si>
    <t>사용자이직</t>
  </si>
  <si>
    <t>케이프투자증권</t>
  </si>
  <si>
    <t>채권투자센터 채권투자팀</t>
  </si>
  <si>
    <t>E160822</t>
  </si>
  <si>
    <t>아이엠에셋자산운용</t>
  </si>
  <si>
    <t>채권운용본부 채권운용2팀</t>
  </si>
  <si>
    <t>E220589</t>
  </si>
  <si>
    <t>디에스투자증권</t>
  </si>
  <si>
    <t>채권금융본부 종합금융팀</t>
  </si>
  <si>
    <t>26.01.28</t>
  </si>
  <si>
    <t>E240060</t>
  </si>
  <si>
    <t>디비자산운용</t>
  </si>
  <si>
    <t>LDI1본부 Fixed Income운용팀</t>
  </si>
  <si>
    <t>E170400</t>
  </si>
  <si>
    <t>해외국공채팀</t>
  </si>
  <si>
    <t>26.01.30</t>
  </si>
  <si>
    <t>E220492</t>
  </si>
  <si>
    <t>에스케이증권</t>
  </si>
  <si>
    <t>채권금융부</t>
  </si>
  <si>
    <t>E170381</t>
  </si>
  <si>
    <t>26년 05월</t>
  </si>
  <si>
    <t>투자팀</t>
  </si>
  <si>
    <t>E240162</t>
  </si>
  <si>
    <t>26.02.02</t>
  </si>
  <si>
    <t>E240068</t>
  </si>
  <si>
    <t>ESG전략팀</t>
  </si>
  <si>
    <t>시작일</t>
    <phoneticPr fontId="1" type="noConversion"/>
  </si>
  <si>
    <t>E020578</t>
    <phoneticPr fontId="1" type="noConversion"/>
  </si>
  <si>
    <t>단말기 해지 진행사항(2026.02.06)</t>
    <phoneticPr fontId="1" type="noConversion"/>
  </si>
  <si>
    <t>정보사업본부 정보사업1팀</t>
    <phoneticPr fontId="1" type="noConversion"/>
  </si>
  <si>
    <t>* 청구재개 시 리스트 삭제 必</t>
    <phoneticPr fontId="1" type="noConversion"/>
  </si>
  <si>
    <t>1. 해지 발생 시 본부장님 보고 진행
2. CRM 및 해지 리스트 등록</t>
    <phoneticPr fontId="1" type="noConversion"/>
  </si>
  <si>
    <t>정진영</t>
    <phoneticPr fontId="1" type="noConversion"/>
  </si>
  <si>
    <t>신무길</t>
    <phoneticPr fontId="1" type="noConversion"/>
  </si>
  <si>
    <t>조홍희</t>
    <phoneticPr fontId="1" type="noConversion"/>
  </si>
  <si>
    <t>정진영</t>
    <phoneticPr fontId="1" type="noConversion"/>
  </si>
  <si>
    <t>26.02.11</t>
    <phoneticPr fontId="1" type="noConversion"/>
  </si>
  <si>
    <t>E130162</t>
    <phoneticPr fontId="1" type="noConversion"/>
  </si>
  <si>
    <t>사용자퇴사</t>
    <phoneticPr fontId="1" type="noConversion"/>
  </si>
  <si>
    <t>26년 03월</t>
    <phoneticPr fontId="1" type="noConversion"/>
  </si>
  <si>
    <t>26년 05월</t>
    <phoneticPr fontId="1" type="noConversion"/>
  </si>
  <si>
    <t>호주뉴질랜드은행</t>
    <phoneticPr fontId="1" type="noConversion"/>
  </si>
  <si>
    <t>자금시장본부</t>
    <phoneticPr fontId="1" type="noConversion"/>
  </si>
  <si>
    <t>단말기 해지 진행사항(2026.02.13)</t>
    <phoneticPr fontId="1" type="noConversion"/>
  </si>
  <si>
    <t>단말기 해지 진행사항(2026.02.20)</t>
    <phoneticPr fontId="1" type="noConversion"/>
  </si>
  <si>
    <t>사용자이동</t>
    <phoneticPr fontId="1" type="noConversion"/>
  </si>
  <si>
    <t>26.02.10</t>
  </si>
  <si>
    <t>E240049</t>
  </si>
  <si>
    <t>26.02.06</t>
  </si>
  <si>
    <t>E230229</t>
  </si>
  <si>
    <t>E230024</t>
  </si>
  <si>
    <t>비용절감</t>
  </si>
  <si>
    <t>26.02.11</t>
  </si>
  <si>
    <t>E130120</t>
  </si>
  <si>
    <t>26.02.19</t>
  </si>
  <si>
    <t>E200013</t>
  </si>
  <si>
    <t>26.02.12</t>
  </si>
  <si>
    <t>26.02.05</t>
  </si>
  <si>
    <t>E240048</t>
  </si>
  <si>
    <t>2026.04.30</t>
  </si>
  <si>
    <t>파생구조화부</t>
  </si>
  <si>
    <t>임원실</t>
  </si>
  <si>
    <t>특별계정운용파트</t>
  </si>
  <si>
    <t>증권운용본부</t>
  </si>
  <si>
    <t>S&amp;T영업추진부</t>
  </si>
  <si>
    <t>신한투자증권</t>
  </si>
  <si>
    <t>아이엠라이프생명보험</t>
  </si>
  <si>
    <t>유진자산운용</t>
  </si>
  <si>
    <t>케이비증권</t>
  </si>
  <si>
    <t>E130162</t>
  </si>
  <si>
    <t>자금시장본부</t>
  </si>
  <si>
    <t>호주뉴질랜드은행</t>
  </si>
  <si>
    <t>26년 02월</t>
    <phoneticPr fontId="1" type="noConversion"/>
  </si>
  <si>
    <t>채권금융부</t>
    <phoneticPr fontId="1" type="noConversion"/>
  </si>
  <si>
    <t>26.01.12</t>
    <phoneticPr fontId="1" type="noConversion"/>
  </si>
  <si>
    <t>사용자퇴사</t>
    <phoneticPr fontId="1" type="noConversion"/>
  </si>
  <si>
    <t>활용저조</t>
    <phoneticPr fontId="1" type="noConversion"/>
  </si>
  <si>
    <t>계약만료</t>
    <phoneticPr fontId="1" type="noConversion"/>
  </si>
  <si>
    <t>비용절감</t>
    <phoneticPr fontId="1" type="noConversion"/>
  </si>
  <si>
    <t>합병매각</t>
    <phoneticPr fontId="1" type="noConversion"/>
  </si>
  <si>
    <t>조직개편</t>
    <phoneticPr fontId="1" type="noConversion"/>
  </si>
  <si>
    <t>휴직/장기출장</t>
    <phoneticPr fontId="1" type="noConversion"/>
  </si>
  <si>
    <t>타사대체</t>
    <phoneticPr fontId="1" type="noConversion"/>
  </si>
  <si>
    <t>비용미납</t>
    <phoneticPr fontId="1" type="noConversion"/>
  </si>
  <si>
    <t>합계</t>
    <phoneticPr fontId="1" type="noConversion"/>
  </si>
  <si>
    <t>해지 현황 구분</t>
    <phoneticPr fontId="1" type="noConversion"/>
  </si>
  <si>
    <t>3월 정상 청구</t>
    <phoneticPr fontId="1" type="noConversion"/>
  </si>
  <si>
    <t>E160664</t>
    <phoneticPr fontId="1" type="noConversion"/>
  </si>
  <si>
    <t>조홍희</t>
    <phoneticPr fontId="1" type="noConversion"/>
  </si>
  <si>
    <t>사용자퇴사</t>
    <phoneticPr fontId="1" type="noConversion"/>
  </si>
  <si>
    <t>한화자산운용</t>
    <phoneticPr fontId="1" type="noConversion"/>
  </si>
  <si>
    <t>솔루션운용본부</t>
    <phoneticPr fontId="1" type="noConversion"/>
  </si>
  <si>
    <t>E180147</t>
    <phoneticPr fontId="1" type="noConversion"/>
  </si>
  <si>
    <t>해외투자운용부</t>
    <phoneticPr fontId="1" type="noConversion"/>
  </si>
  <si>
    <t>E080082</t>
    <phoneticPr fontId="1" type="noConversion"/>
  </si>
  <si>
    <t>26.02.23</t>
    <phoneticPr fontId="1" type="noConversion"/>
  </si>
  <si>
    <t>슈로더투자신탁운용</t>
    <phoneticPr fontId="1" type="noConversion"/>
  </si>
  <si>
    <t>계약만료</t>
    <phoneticPr fontId="1" type="noConversion"/>
  </si>
  <si>
    <t>1,636,364원</t>
    <phoneticPr fontId="1" type="noConversion"/>
  </si>
  <si>
    <t>26.02.20</t>
    <phoneticPr fontId="1" type="noConversion"/>
  </si>
  <si>
    <t>신무길</t>
    <phoneticPr fontId="1" type="noConversion"/>
  </si>
  <si>
    <t>E210453</t>
    <phoneticPr fontId="1" type="noConversion"/>
  </si>
  <si>
    <t>사용자퇴사</t>
    <phoneticPr fontId="1" type="noConversion"/>
  </si>
  <si>
    <t>2026.02.28</t>
    <phoneticPr fontId="1" type="noConversion"/>
  </si>
  <si>
    <t>현대차증권</t>
    <phoneticPr fontId="1" type="noConversion"/>
  </si>
  <si>
    <t>채권금융1팀</t>
    <phoneticPr fontId="1" type="noConversion"/>
  </si>
  <si>
    <t>E200510</t>
    <phoneticPr fontId="1" type="noConversion"/>
  </si>
  <si>
    <t>E230232</t>
    <phoneticPr fontId="1" type="noConversion"/>
  </si>
  <si>
    <t>26년 03월</t>
    <phoneticPr fontId="1" type="noConversion"/>
  </si>
  <si>
    <t>26년 05월</t>
    <phoneticPr fontId="1" type="noConversion"/>
  </si>
  <si>
    <t>26년 03월</t>
    <phoneticPr fontId="1" type="noConversion"/>
  </si>
  <si>
    <t>25.11.24</t>
    <phoneticPr fontId="1" type="noConversion"/>
  </si>
  <si>
    <t>25.12.01</t>
    <phoneticPr fontId="1" type="noConversion"/>
  </si>
  <si>
    <t>박혜리</t>
    <phoneticPr fontId="1" type="noConversion"/>
  </si>
  <si>
    <t>E240130</t>
    <phoneticPr fontId="1" type="noConversion"/>
  </si>
  <si>
    <t>투자전략팀</t>
    <phoneticPr fontId="1" type="noConversion"/>
  </si>
  <si>
    <t>26년 03월</t>
    <phoneticPr fontId="1" type="noConversion"/>
  </si>
  <si>
    <t>단말기 해지 진행사항(2026.02.27)</t>
    <phoneticPr fontId="1" type="noConversion"/>
  </si>
  <si>
    <t>신무길</t>
    <phoneticPr fontId="1" type="noConversion"/>
  </si>
  <si>
    <t>E190803</t>
    <phoneticPr fontId="1" type="noConversion"/>
  </si>
  <si>
    <t>단말기 해지 진행사항(2026.03.05)</t>
    <phoneticPr fontId="1" type="noConversion"/>
  </si>
  <si>
    <t>26.02.26</t>
    <phoneticPr fontId="1" type="noConversion"/>
  </si>
  <si>
    <t>박혜리</t>
    <phoneticPr fontId="1" type="noConversion"/>
  </si>
  <si>
    <t>E170381</t>
    <phoneticPr fontId="1" type="noConversion"/>
  </si>
  <si>
    <t>2026.03.31</t>
    <phoneticPr fontId="1" type="noConversion"/>
  </si>
  <si>
    <t>동양생명보험</t>
    <phoneticPr fontId="1" type="noConversion"/>
  </si>
  <si>
    <t>투자팀</t>
    <phoneticPr fontId="1" type="noConversion"/>
  </si>
  <si>
    <t>26.02.26</t>
    <phoneticPr fontId="1" type="noConversion"/>
  </si>
  <si>
    <t>정진영</t>
    <phoneticPr fontId="1" type="noConversion"/>
  </si>
  <si>
    <t>E040056</t>
    <phoneticPr fontId="1" type="noConversion"/>
  </si>
  <si>
    <t>계약만료</t>
    <phoneticPr fontId="1" type="noConversion"/>
  </si>
  <si>
    <t>2026.02.28</t>
    <phoneticPr fontId="1" type="noConversion"/>
  </si>
  <si>
    <t>대화은행 서울지점</t>
    <phoneticPr fontId="1" type="noConversion"/>
  </si>
  <si>
    <t>Global Market</t>
  </si>
  <si>
    <t>이상철</t>
    <phoneticPr fontId="1" type="noConversion"/>
  </si>
  <si>
    <t xml:space="preserve"> E190076 </t>
    <phoneticPr fontId="1" type="noConversion"/>
  </si>
  <si>
    <t>비용절감</t>
    <phoneticPr fontId="1" type="noConversion"/>
  </si>
  <si>
    <t>삼성증권</t>
    <phoneticPr fontId="1" type="noConversion"/>
  </si>
  <si>
    <t xml:space="preserve">기업금융지점 </t>
    <phoneticPr fontId="1" type="noConversion"/>
  </si>
  <si>
    <t>26.02.26</t>
    <phoneticPr fontId="1" type="noConversion"/>
  </si>
  <si>
    <t>이홍민</t>
    <phoneticPr fontId="1" type="noConversion"/>
  </si>
  <si>
    <t>E100336</t>
    <phoneticPr fontId="1" type="noConversion"/>
  </si>
  <si>
    <t>사용자퇴사</t>
    <phoneticPr fontId="1" type="noConversion"/>
  </si>
  <si>
    <t>2026.03.31</t>
    <phoneticPr fontId="1" type="noConversion"/>
  </si>
  <si>
    <t>두산</t>
    <phoneticPr fontId="1" type="noConversion"/>
  </si>
  <si>
    <t>임원실</t>
    <phoneticPr fontId="1" type="noConversion"/>
  </si>
  <si>
    <t>26.02.26</t>
    <phoneticPr fontId="1" type="noConversion"/>
  </si>
  <si>
    <t>신무길</t>
    <phoneticPr fontId="1" type="noConversion"/>
  </si>
  <si>
    <t>E240133</t>
    <phoneticPr fontId="1" type="noConversion"/>
  </si>
  <si>
    <t>사용자퇴사</t>
    <phoneticPr fontId="1" type="noConversion"/>
  </si>
  <si>
    <t>유진투자증권</t>
    <phoneticPr fontId="1" type="noConversion"/>
  </si>
  <si>
    <t>CM3팀</t>
    <phoneticPr fontId="1" type="noConversion"/>
  </si>
  <si>
    <t>26.02.27</t>
    <phoneticPr fontId="1" type="noConversion"/>
  </si>
  <si>
    <t>E220136</t>
    <phoneticPr fontId="1" type="noConversion"/>
  </si>
  <si>
    <t>BNK투자증권</t>
    <phoneticPr fontId="1" type="noConversion"/>
  </si>
  <si>
    <t>MS운용부</t>
    <phoneticPr fontId="1" type="noConversion"/>
  </si>
  <si>
    <t>26년 05월</t>
    <phoneticPr fontId="1" type="noConversion"/>
  </si>
  <si>
    <t>26년 03월 재청구</t>
    <phoneticPr fontId="1" type="noConversion"/>
  </si>
  <si>
    <t>신무길</t>
    <phoneticPr fontId="1" type="noConversion"/>
  </si>
  <si>
    <t>26년 03월</t>
    <phoneticPr fontId="1" type="noConversion"/>
  </si>
  <si>
    <t>단말기 해지 진행사항(2026.03.12)</t>
    <phoneticPr fontId="1" type="noConversion"/>
  </si>
  <si>
    <t>26.03.04</t>
    <phoneticPr fontId="1" type="noConversion"/>
  </si>
  <si>
    <t>정진영</t>
    <phoneticPr fontId="1" type="noConversion"/>
  </si>
  <si>
    <t>E170633</t>
    <phoneticPr fontId="1" type="noConversion"/>
  </si>
  <si>
    <t>사용자퇴사</t>
    <phoneticPr fontId="1" type="noConversion"/>
  </si>
  <si>
    <t>도이치증권</t>
    <phoneticPr fontId="1" type="noConversion"/>
  </si>
  <si>
    <t>딜링룸</t>
    <phoneticPr fontId="1" type="noConversion"/>
  </si>
  <si>
    <t>26년 03월</t>
    <phoneticPr fontId="1" type="noConversion"/>
  </si>
  <si>
    <t>26년 05월</t>
    <phoneticPr fontId="1" type="noConversion"/>
  </si>
  <si>
    <t>E180618</t>
    <phoneticPr fontId="1" type="noConversion"/>
  </si>
  <si>
    <t>조홍희</t>
    <phoneticPr fontId="1" type="noConversion"/>
  </si>
  <si>
    <t>26.03.06</t>
    <phoneticPr fontId="1" type="noConversion"/>
  </si>
  <si>
    <t>다올자산운용</t>
    <phoneticPr fontId="1" type="noConversion"/>
  </si>
  <si>
    <t>채권운용본부</t>
    <phoneticPr fontId="1" type="noConversion"/>
  </si>
  <si>
    <t>26.03.12</t>
    <phoneticPr fontId="1" type="noConversion"/>
  </si>
  <si>
    <t>신무길</t>
    <phoneticPr fontId="1" type="noConversion"/>
  </si>
  <si>
    <t>E250027</t>
    <phoneticPr fontId="1" type="noConversion"/>
  </si>
  <si>
    <t>계약만료</t>
    <phoneticPr fontId="1" type="noConversion"/>
  </si>
  <si>
    <t>2026.03.31</t>
    <phoneticPr fontId="1" type="noConversion"/>
  </si>
  <si>
    <t>한양증권</t>
    <phoneticPr fontId="1" type="noConversion"/>
  </si>
  <si>
    <t>SF사업1부</t>
    <phoneticPr fontId="1" type="noConversion"/>
  </si>
  <si>
    <t>26년 06월</t>
    <phoneticPr fontId="1" type="noConversion"/>
  </si>
  <si>
    <t>신무길</t>
    <phoneticPr fontId="1" type="noConversion"/>
  </si>
  <si>
    <t>E230232</t>
    <phoneticPr fontId="1" type="noConversion"/>
  </si>
  <si>
    <t>26년 03월</t>
    <phoneticPr fontId="1" type="noConversion"/>
  </si>
  <si>
    <t>3월 재청구 시작</t>
    <phoneticPr fontId="1" type="noConversion"/>
  </si>
  <si>
    <t>26.03.10</t>
    <phoneticPr fontId="1" type="noConversion"/>
  </si>
  <si>
    <t xml:space="preserve"> E250422</t>
    <phoneticPr fontId="1" type="noConversion"/>
  </si>
  <si>
    <t>E250705</t>
    <phoneticPr fontId="1" type="noConversion"/>
  </si>
  <si>
    <t>E240010</t>
    <phoneticPr fontId="1" type="noConversion"/>
  </si>
  <si>
    <t>사용자퇴사</t>
    <phoneticPr fontId="1" type="noConversion"/>
  </si>
  <si>
    <t>비용절감</t>
    <phoneticPr fontId="1" type="noConversion"/>
  </si>
  <si>
    <t>2026.03.31</t>
    <phoneticPr fontId="1" type="noConversion"/>
  </si>
  <si>
    <t>2026.06.30</t>
    <phoneticPr fontId="1" type="noConversion"/>
  </si>
  <si>
    <t>코리아에셋투자증권</t>
    <phoneticPr fontId="1" type="noConversion"/>
  </si>
  <si>
    <t>리딩투자증권</t>
    <phoneticPr fontId="1" type="noConversion"/>
  </si>
  <si>
    <t>채권금융본부</t>
    <phoneticPr fontId="1" type="noConversion"/>
  </si>
  <si>
    <t>FICC본부</t>
    <phoneticPr fontId="1" type="noConversion"/>
  </si>
  <si>
    <t>채권금융실</t>
    <phoneticPr fontId="1" type="noConversion"/>
  </si>
  <si>
    <t>단말기 해지 진행사항(2026.03.19)</t>
    <phoneticPr fontId="1" type="noConversion"/>
  </si>
  <si>
    <t>26.03.06</t>
    <phoneticPr fontId="1" type="noConversion"/>
  </si>
  <si>
    <t>조홍희</t>
    <phoneticPr fontId="1" type="noConversion"/>
  </si>
  <si>
    <t>E180618</t>
    <phoneticPr fontId="1" type="noConversion"/>
  </si>
  <si>
    <t>사용자퇴사</t>
    <phoneticPr fontId="1" type="noConversion"/>
  </si>
  <si>
    <t>26년 04월</t>
    <phoneticPr fontId="1" type="noConversion"/>
  </si>
  <si>
    <t>26년 06월</t>
    <phoneticPr fontId="1" type="noConversion"/>
  </si>
  <si>
    <t>다올자산운용</t>
    <phoneticPr fontId="1" type="noConversion"/>
  </si>
  <si>
    <t>채권운용본부</t>
    <phoneticPr fontId="1" type="noConversion"/>
  </si>
  <si>
    <t>E160664</t>
    <phoneticPr fontId="1" type="noConversion"/>
  </si>
  <si>
    <t>사용자 퇴사</t>
    <phoneticPr fontId="1" type="noConversion"/>
  </si>
  <si>
    <t>26.03.10</t>
    <phoneticPr fontId="1" type="noConversion"/>
  </si>
  <si>
    <t>조홍희</t>
    <phoneticPr fontId="1" type="noConversion"/>
  </si>
  <si>
    <t>한화자산운용</t>
    <phoneticPr fontId="1" type="noConversion"/>
  </si>
  <si>
    <t>연금솔루션운용팀</t>
    <phoneticPr fontId="1" type="noConversion"/>
  </si>
  <si>
    <t>26.03.11</t>
    <phoneticPr fontId="1" type="noConversion"/>
  </si>
  <si>
    <t>이홍민</t>
    <phoneticPr fontId="1" type="noConversion"/>
  </si>
  <si>
    <t>E110609</t>
    <phoneticPr fontId="1" type="noConversion"/>
  </si>
  <si>
    <t>계약만료</t>
    <phoneticPr fontId="1" type="noConversion"/>
  </si>
  <si>
    <t>2026.10.31</t>
    <phoneticPr fontId="1" type="noConversion"/>
  </si>
  <si>
    <t>롯데엠시시</t>
    <phoneticPr fontId="1" type="noConversion"/>
  </si>
  <si>
    <t>재무팀</t>
    <phoneticPr fontId="1" type="noConversion"/>
  </si>
  <si>
    <t>26.03.12</t>
    <phoneticPr fontId="1" type="noConversion"/>
  </si>
  <si>
    <t>이상철</t>
    <phoneticPr fontId="1" type="noConversion"/>
  </si>
  <si>
    <t>E240264</t>
    <phoneticPr fontId="1" type="noConversion"/>
  </si>
  <si>
    <t>출산휴가</t>
    <phoneticPr fontId="1" type="noConversion"/>
  </si>
  <si>
    <t>26년 06월</t>
    <phoneticPr fontId="1" type="noConversion"/>
  </si>
  <si>
    <t>비엔케이투자증권</t>
    <phoneticPr fontId="1" type="noConversion"/>
  </si>
  <si>
    <t>MS운용부</t>
    <phoneticPr fontId="1" type="noConversion"/>
  </si>
  <si>
    <t>26.03.13</t>
    <phoneticPr fontId="1" type="noConversion"/>
  </si>
  <si>
    <t>신무길</t>
    <phoneticPr fontId="1" type="noConversion"/>
  </si>
  <si>
    <t>E230557</t>
    <phoneticPr fontId="1" type="noConversion"/>
  </si>
  <si>
    <t>26년 06월</t>
    <phoneticPr fontId="1" type="noConversion"/>
  </si>
  <si>
    <t>흥국증권</t>
    <phoneticPr fontId="1" type="noConversion"/>
  </si>
  <si>
    <t>종합금융팀</t>
    <phoneticPr fontId="1" type="noConversion"/>
  </si>
  <si>
    <t>이상철</t>
    <phoneticPr fontId="1" type="noConversion"/>
  </si>
  <si>
    <t>E250560</t>
    <phoneticPr fontId="1" type="noConversion"/>
  </si>
  <si>
    <t>사용자퇴사</t>
    <phoneticPr fontId="1" type="noConversion"/>
  </si>
  <si>
    <t>26년 07월</t>
    <phoneticPr fontId="1" type="noConversion"/>
  </si>
  <si>
    <t>부국증권</t>
    <phoneticPr fontId="1" type="noConversion"/>
  </si>
  <si>
    <t>인수금융부</t>
    <phoneticPr fontId="1" type="noConversion"/>
  </si>
  <si>
    <t>26.03.13</t>
    <phoneticPr fontId="1" type="noConversion"/>
  </si>
  <si>
    <t>E230424</t>
    <phoneticPr fontId="1" type="noConversion"/>
  </si>
  <si>
    <t>비용절감</t>
    <phoneticPr fontId="1" type="noConversion"/>
  </si>
  <si>
    <t>2026.08.31</t>
    <phoneticPr fontId="1" type="noConversion"/>
  </si>
  <si>
    <t>서강대학교</t>
    <phoneticPr fontId="1" type="noConversion"/>
  </si>
  <si>
    <t>경제학과</t>
    <phoneticPr fontId="1" type="noConversion"/>
  </si>
  <si>
    <t>26년 04월</t>
    <phoneticPr fontId="1" type="noConversion"/>
  </si>
  <si>
    <t>26.03.16</t>
    <phoneticPr fontId="1" type="noConversion"/>
  </si>
  <si>
    <t>신무길</t>
    <phoneticPr fontId="1" type="noConversion"/>
  </si>
  <si>
    <t>E230002</t>
    <phoneticPr fontId="1" type="noConversion"/>
  </si>
  <si>
    <t>계약만료</t>
    <phoneticPr fontId="1" type="noConversion"/>
  </si>
  <si>
    <t>2026.03.31</t>
    <phoneticPr fontId="1" type="noConversion"/>
  </si>
  <si>
    <t>에스케이증권</t>
    <phoneticPr fontId="1" type="noConversion"/>
  </si>
  <si>
    <t>트레이딩팀</t>
    <phoneticPr fontId="1" type="noConversion"/>
  </si>
  <si>
    <t>단말기 해지 진행사항(2026.03.26)</t>
    <phoneticPr fontId="1" type="noConversion"/>
  </si>
  <si>
    <t>25.12.17</t>
    <phoneticPr fontId="1" type="noConversion"/>
  </si>
  <si>
    <t>E150501</t>
    <phoneticPr fontId="1" type="noConversion"/>
  </si>
  <si>
    <t>합병매각</t>
    <phoneticPr fontId="1" type="noConversion"/>
  </si>
  <si>
    <t>E240162</t>
    <phoneticPr fontId="1" type="noConversion"/>
  </si>
  <si>
    <t>26.03.17</t>
    <phoneticPr fontId="1" type="noConversion"/>
  </si>
  <si>
    <t>정진영</t>
    <phoneticPr fontId="1" type="noConversion"/>
  </si>
  <si>
    <t>26.03.17</t>
    <phoneticPr fontId="1" type="noConversion"/>
  </si>
  <si>
    <t>E200080</t>
    <phoneticPr fontId="1" type="noConversion"/>
  </si>
  <si>
    <t>E230335</t>
    <phoneticPr fontId="1" type="noConversion"/>
  </si>
  <si>
    <t>계약만료</t>
    <phoneticPr fontId="1" type="noConversion"/>
  </si>
  <si>
    <t>2026.04.30</t>
    <phoneticPr fontId="1" type="noConversion"/>
  </si>
  <si>
    <t>대한지방행정공제회</t>
    <phoneticPr fontId="1" type="noConversion"/>
  </si>
  <si>
    <t>주식팀</t>
    <phoneticPr fontId="1" type="noConversion"/>
  </si>
  <si>
    <t>2026.08.31</t>
    <phoneticPr fontId="1" type="noConversion"/>
  </si>
  <si>
    <t>해지 철회</t>
    <phoneticPr fontId="1" type="noConversion"/>
  </si>
  <si>
    <t>이홍민</t>
    <phoneticPr fontId="1" type="noConversion"/>
  </si>
  <si>
    <t>E220622</t>
    <phoneticPr fontId="1" type="noConversion"/>
  </si>
  <si>
    <t>에스케이이노베이션</t>
    <phoneticPr fontId="1" type="noConversion"/>
  </si>
  <si>
    <t>수펙스추구협의회</t>
    <phoneticPr fontId="1" type="noConversion"/>
  </si>
  <si>
    <t>26.03.20</t>
    <phoneticPr fontId="1" type="noConversion"/>
  </si>
  <si>
    <t>E190587</t>
    <phoneticPr fontId="1" type="noConversion"/>
  </si>
  <si>
    <t>폐업</t>
    <phoneticPr fontId="1" type="noConversion"/>
  </si>
  <si>
    <t>2026.03.31</t>
    <phoneticPr fontId="1" type="noConversion"/>
  </si>
  <si>
    <t>에스티엑스마린서비스</t>
    <phoneticPr fontId="1" type="noConversion"/>
  </si>
  <si>
    <t>경영관리본부</t>
    <phoneticPr fontId="1" type="noConversion"/>
  </si>
  <si>
    <t>2026.05.31</t>
    <phoneticPr fontId="1" type="noConversion"/>
  </si>
  <si>
    <t>26.02.10</t>
    <phoneticPr fontId="1" type="noConversion"/>
  </si>
  <si>
    <t>박혜리</t>
    <phoneticPr fontId="1" type="noConversion"/>
  </si>
  <si>
    <t>E160035</t>
    <phoneticPr fontId="1" type="noConversion"/>
  </si>
  <si>
    <t>아이엠라이프생명</t>
    <phoneticPr fontId="1" type="noConversion"/>
  </si>
  <si>
    <t>변액운용부</t>
    <phoneticPr fontId="1" type="noConversion"/>
  </si>
  <si>
    <t>26.03.23</t>
    <phoneticPr fontId="1" type="noConversion"/>
  </si>
  <si>
    <t xml:space="preserve">박혜리 </t>
    <phoneticPr fontId="1" type="noConversion"/>
  </si>
  <si>
    <t>E140538</t>
    <phoneticPr fontId="1" type="noConversion"/>
  </si>
  <si>
    <t>E190814</t>
    <phoneticPr fontId="1" type="noConversion"/>
  </si>
  <si>
    <t>신무길</t>
    <phoneticPr fontId="1" type="noConversion"/>
  </si>
  <si>
    <t>26.03.23</t>
    <phoneticPr fontId="1" type="noConversion"/>
  </si>
  <si>
    <t>계약만료</t>
    <phoneticPr fontId="1" type="noConversion"/>
  </si>
  <si>
    <t>2026.04.30</t>
    <phoneticPr fontId="1" type="noConversion"/>
  </si>
  <si>
    <t>한국투자증권</t>
    <phoneticPr fontId="1" type="noConversion"/>
  </si>
  <si>
    <t>자산관리전략부</t>
    <phoneticPr fontId="1" type="noConversion"/>
  </si>
  <si>
    <t>26년 01월</t>
    <phoneticPr fontId="1" type="noConversion"/>
  </si>
  <si>
    <t>26년 06월</t>
    <phoneticPr fontId="1" type="noConversion"/>
  </si>
  <si>
    <t>26.02.23</t>
    <phoneticPr fontId="1" type="noConversion"/>
  </si>
  <si>
    <t>조홍희</t>
    <phoneticPr fontId="1" type="noConversion"/>
  </si>
  <si>
    <t>E180147</t>
    <phoneticPr fontId="1" type="noConversion"/>
  </si>
  <si>
    <t>슈로더투자신탁운용</t>
    <phoneticPr fontId="1" type="noConversion"/>
  </si>
  <si>
    <t>해외투자운용부</t>
    <phoneticPr fontId="1" type="noConversion"/>
  </si>
  <si>
    <t>E080082</t>
    <phoneticPr fontId="1" type="noConversion"/>
  </si>
  <si>
    <t>계약만료</t>
    <phoneticPr fontId="1" type="noConversion"/>
  </si>
  <si>
    <t>26.02.20</t>
    <phoneticPr fontId="1" type="noConversion"/>
  </si>
  <si>
    <t>신무길</t>
    <phoneticPr fontId="1" type="noConversion"/>
  </si>
  <si>
    <t>E210453</t>
    <phoneticPr fontId="1" type="noConversion"/>
  </si>
  <si>
    <t>사용자퇴사</t>
    <phoneticPr fontId="1" type="noConversion"/>
  </si>
  <si>
    <t>2026.02.28</t>
    <phoneticPr fontId="1" type="noConversion"/>
  </si>
  <si>
    <t>현대차증권</t>
    <phoneticPr fontId="1" type="noConversion"/>
  </si>
  <si>
    <t>채권금융1팀</t>
    <phoneticPr fontId="1" type="noConversion"/>
  </si>
  <si>
    <t>E200510</t>
    <phoneticPr fontId="1" type="noConversion"/>
  </si>
  <si>
    <t>26.02.26</t>
    <phoneticPr fontId="1" type="noConversion"/>
  </si>
  <si>
    <t>정진영</t>
    <phoneticPr fontId="1" type="noConversion"/>
  </si>
  <si>
    <t>E040056</t>
    <phoneticPr fontId="1" type="noConversion"/>
  </si>
  <si>
    <t>대화은행 서울지점</t>
    <phoneticPr fontId="1" type="noConversion"/>
  </si>
  <si>
    <t>26.03.06</t>
    <phoneticPr fontId="1" type="noConversion"/>
  </si>
  <si>
    <t>E180618</t>
    <phoneticPr fontId="1" type="noConversion"/>
  </si>
  <si>
    <t>26년 04월</t>
    <phoneticPr fontId="1" type="noConversion"/>
  </si>
  <si>
    <t>26년 06월</t>
    <phoneticPr fontId="1" type="noConversion"/>
  </si>
  <si>
    <t>다올자산운용</t>
    <phoneticPr fontId="1" type="noConversion"/>
  </si>
  <si>
    <t>채권운용본부</t>
    <phoneticPr fontId="1" type="noConversion"/>
  </si>
  <si>
    <t>26.03.12</t>
    <phoneticPr fontId="1" type="noConversion"/>
  </si>
  <si>
    <t>이상철</t>
    <phoneticPr fontId="1" type="noConversion"/>
  </si>
  <si>
    <t>E240264</t>
    <phoneticPr fontId="1" type="noConversion"/>
  </si>
  <si>
    <t>출산휴가</t>
    <phoneticPr fontId="1" type="noConversion"/>
  </si>
  <si>
    <t>비엔케이투자증권</t>
    <phoneticPr fontId="1" type="noConversion"/>
  </si>
  <si>
    <t>MS운용부</t>
    <phoneticPr fontId="1" type="noConversion"/>
  </si>
  <si>
    <t>26.03.13</t>
    <phoneticPr fontId="1" type="noConversion"/>
  </si>
  <si>
    <t>E230557</t>
    <phoneticPr fontId="1" type="noConversion"/>
  </si>
  <si>
    <t>흥국증권</t>
    <phoneticPr fontId="1" type="noConversion"/>
  </si>
  <si>
    <t>종합금융팀</t>
    <phoneticPr fontId="1" type="noConversion"/>
  </si>
  <si>
    <t>E250560</t>
    <phoneticPr fontId="1" type="noConversion"/>
  </si>
  <si>
    <t>26년 07월</t>
    <phoneticPr fontId="1" type="noConversion"/>
  </si>
  <si>
    <t>부국증권</t>
    <phoneticPr fontId="1" type="noConversion"/>
  </si>
  <si>
    <t>인수금융부</t>
    <phoneticPr fontId="1" type="noConversion"/>
  </si>
  <si>
    <t>E180571</t>
    <phoneticPr fontId="1" type="noConversion"/>
  </si>
  <si>
    <t>교보악사자산운용</t>
    <phoneticPr fontId="1" type="noConversion"/>
  </si>
  <si>
    <t>트레이딩팀</t>
    <phoneticPr fontId="1" type="noConversion"/>
  </si>
  <si>
    <t>26.02.26</t>
    <phoneticPr fontId="1" type="noConversion"/>
  </si>
  <si>
    <t>이상철</t>
    <phoneticPr fontId="1" type="noConversion"/>
  </si>
  <si>
    <t xml:space="preserve"> E190076 </t>
    <phoneticPr fontId="1" type="noConversion"/>
  </si>
  <si>
    <t>비용절감</t>
    <phoneticPr fontId="1" type="noConversion"/>
  </si>
  <si>
    <t>2026.02.28</t>
    <phoneticPr fontId="1" type="noConversion"/>
  </si>
  <si>
    <t>삼성증권</t>
    <phoneticPr fontId="1" type="noConversion"/>
  </si>
  <si>
    <t xml:space="preserve">기업금융지점 </t>
    <phoneticPr fontId="1" type="noConversion"/>
  </si>
  <si>
    <t>2/27 E130785 해지 대체</t>
    <phoneticPr fontId="1" type="noConversion"/>
  </si>
  <si>
    <t>26.03.06</t>
    <phoneticPr fontId="1" type="noConversion"/>
  </si>
  <si>
    <t>조홍희</t>
    <phoneticPr fontId="1" type="noConversion"/>
  </si>
  <si>
    <t>E180618</t>
    <phoneticPr fontId="1" type="noConversion"/>
  </si>
  <si>
    <t>사용자퇴사</t>
    <phoneticPr fontId="1" type="noConversion"/>
  </si>
  <si>
    <t>26년 04월</t>
    <phoneticPr fontId="1" type="noConversion"/>
  </si>
  <si>
    <t>26년 06월</t>
    <phoneticPr fontId="1" type="noConversion"/>
  </si>
  <si>
    <t>다올자산운용</t>
    <phoneticPr fontId="1" type="noConversion"/>
  </si>
  <si>
    <t>채권운용본부</t>
    <phoneticPr fontId="1" type="noConversion"/>
  </si>
  <si>
    <t>26.03.12</t>
    <phoneticPr fontId="1" type="noConversion"/>
  </si>
  <si>
    <t>E240264</t>
    <phoneticPr fontId="1" type="noConversion"/>
  </si>
  <si>
    <t>출산휴가</t>
    <phoneticPr fontId="1" type="noConversion"/>
  </si>
  <si>
    <t>비엔케이투자증권</t>
    <phoneticPr fontId="1" type="noConversion"/>
  </si>
  <si>
    <t>MS운용부</t>
    <phoneticPr fontId="1" type="noConversion"/>
  </si>
  <si>
    <t>26.03.13</t>
    <phoneticPr fontId="1" type="noConversion"/>
  </si>
  <si>
    <t>신무길</t>
    <phoneticPr fontId="1" type="noConversion"/>
  </si>
  <si>
    <t>E230557</t>
    <phoneticPr fontId="1" type="noConversion"/>
  </si>
  <si>
    <t>흥국증권</t>
    <phoneticPr fontId="1" type="noConversion"/>
  </si>
  <si>
    <t>종합금융팀</t>
    <phoneticPr fontId="1" type="noConversion"/>
  </si>
  <si>
    <t>E250560</t>
    <phoneticPr fontId="1" type="noConversion"/>
  </si>
  <si>
    <t>26년 07월</t>
    <phoneticPr fontId="1" type="noConversion"/>
  </si>
  <si>
    <t>부국증권</t>
    <phoneticPr fontId="1" type="noConversion"/>
  </si>
  <si>
    <t>인수금융부</t>
    <phoneticPr fontId="1" type="noConversion"/>
  </si>
  <si>
    <t>E180571</t>
    <phoneticPr fontId="1" type="noConversion"/>
  </si>
  <si>
    <t>교보악사자산운용</t>
    <phoneticPr fontId="1" type="noConversion"/>
  </si>
  <si>
    <t>트레이딩팀</t>
    <phoneticPr fontId="1" type="noConversion"/>
  </si>
  <si>
    <t>단말기 해지 진행사항(2026.04.02)</t>
    <phoneticPr fontId="1" type="noConversion"/>
  </si>
  <si>
    <t>E140902</t>
    <phoneticPr fontId="1" type="noConversion"/>
  </si>
  <si>
    <t>국민연금공단</t>
    <phoneticPr fontId="1" type="noConversion"/>
  </si>
  <si>
    <t>해외출장</t>
    <phoneticPr fontId="1" type="noConversion"/>
  </si>
  <si>
    <t>E210533</t>
    <phoneticPr fontId="1" type="noConversion"/>
  </si>
  <si>
    <t>해외주식실</t>
    <phoneticPr fontId="1" type="noConversion"/>
  </si>
  <si>
    <t>조홍희</t>
    <phoneticPr fontId="1" type="noConversion"/>
  </si>
  <si>
    <t>26.03.25</t>
    <phoneticPr fontId="1" type="noConversion"/>
  </si>
  <si>
    <t>26.03.25</t>
    <phoneticPr fontId="1" type="noConversion"/>
  </si>
  <si>
    <t>이홍민</t>
    <phoneticPr fontId="1" type="noConversion"/>
  </si>
  <si>
    <t>E250081</t>
    <phoneticPr fontId="1" type="noConversion"/>
  </si>
  <si>
    <t>셀트리온제약</t>
    <phoneticPr fontId="1" type="noConversion"/>
  </si>
  <si>
    <t>경영관리실</t>
    <phoneticPr fontId="1" type="noConversion"/>
  </si>
  <si>
    <t>26.03.26</t>
    <phoneticPr fontId="1" type="noConversion"/>
  </si>
  <si>
    <t>정효준</t>
    <phoneticPr fontId="1" type="noConversion"/>
  </si>
  <si>
    <t>E030065</t>
    <phoneticPr fontId="1" type="noConversion"/>
  </si>
  <si>
    <t>계약만료</t>
    <phoneticPr fontId="1" type="noConversion"/>
  </si>
  <si>
    <t>2026.03.31</t>
    <phoneticPr fontId="1" type="noConversion"/>
  </si>
  <si>
    <t>케이비금융지주</t>
    <phoneticPr fontId="1" type="noConversion"/>
  </si>
  <si>
    <t>IR부</t>
    <phoneticPr fontId="1" type="noConversion"/>
  </si>
  <si>
    <t>26.03.26</t>
    <phoneticPr fontId="1" type="noConversion"/>
  </si>
  <si>
    <t>신무길</t>
    <phoneticPr fontId="1" type="noConversion"/>
  </si>
  <si>
    <t>E140036</t>
    <phoneticPr fontId="1" type="noConversion"/>
  </si>
  <si>
    <t>계약만료</t>
    <phoneticPr fontId="1" type="noConversion"/>
  </si>
  <si>
    <t>2026.04.30</t>
    <phoneticPr fontId="1" type="noConversion"/>
  </si>
  <si>
    <t>한국투자증권</t>
    <phoneticPr fontId="1" type="noConversion"/>
  </si>
  <si>
    <t>채권상품부</t>
    <phoneticPr fontId="1" type="noConversion"/>
  </si>
  <si>
    <t>26년 04월</t>
    <phoneticPr fontId="1" type="noConversion"/>
  </si>
  <si>
    <t>E160487</t>
    <phoneticPr fontId="1" type="noConversion"/>
  </si>
  <si>
    <t>E220492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</si>
</sst>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General&quot;건&quot;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6" xfId="0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1" fontId="11" fillId="0" borderId="1" xfId="2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6" borderId="0" xfId="0" applyFont="1" applyFill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1" fontId="10" fillId="0" borderId="1" xfId="2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6" fontId="7" fillId="2" borderId="6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11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</cellXfs>
  <cellStyles count="3">
    <cellStyle name="쉼표 [0]" xfId="2" builtinId="6"/>
    <cellStyle name="표준" xfId="0" builtinId="0"/>
    <cellStyle name="표준 77" xfId="1"/>
  </cellStyles>
  <dxfs count="66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63"/>
  <sheetViews>
    <sheetView tabSelected="1" zoomScale="85" zoomScaleNormal="85" workbookViewId="0">
      <selection activeCell="L21" sqref="L21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  <col min="11" max="11" width="20.75" customWidth="1"/>
    <col min="12" max="12" width="13.875" bestFit="1" customWidth="1"/>
  </cols>
  <sheetData>
    <row r="2" spans="2:13" x14ac:dyDescent="0.3">
      <c r="B2" s="75" t="s">
        <v>523</v>
      </c>
      <c r="C2" s="76"/>
      <c r="D2" s="76"/>
      <c r="E2" s="76"/>
      <c r="F2" s="76"/>
      <c r="G2" s="76"/>
      <c r="H2" s="76"/>
      <c r="I2" s="76"/>
      <c r="J2" s="77"/>
    </row>
    <row r="3" spans="2:13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3" ht="26.25" x14ac:dyDescent="0.3">
      <c r="B4" s="10" t="s">
        <v>0</v>
      </c>
      <c r="C4" s="11"/>
      <c r="D4" s="81">
        <f>COUNT(B8:B33)</f>
        <v>23</v>
      </c>
      <c r="E4" s="82"/>
      <c r="F4" s="83" t="s">
        <v>181</v>
      </c>
      <c r="G4" s="84"/>
      <c r="H4" s="84"/>
      <c r="I4" s="87" t="s">
        <v>179</v>
      </c>
      <c r="J4" s="88"/>
    </row>
    <row r="5" spans="2:13" ht="26.25" x14ac:dyDescent="0.3">
      <c r="B5" s="10" t="s">
        <v>1</v>
      </c>
      <c r="C5" s="11"/>
      <c r="D5" s="81">
        <f>COUNT(B36:B62)</f>
        <v>26</v>
      </c>
      <c r="E5" s="82"/>
      <c r="F5" s="85"/>
      <c r="G5" s="86"/>
      <c r="H5" s="86"/>
      <c r="I5" s="89"/>
      <c r="J5" s="90"/>
    </row>
    <row r="6" spans="2:13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  <c r="L6" s="71" t="s">
        <v>235</v>
      </c>
      <c r="M6" s="71"/>
    </row>
    <row r="7" spans="2:13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L7" s="2" t="s">
        <v>227</v>
      </c>
      <c r="M7" s="15">
        <f>COUNTIF(F8:F33,"*계약만료*")</f>
        <v>11</v>
      </c>
    </row>
    <row r="8" spans="2:13" x14ac:dyDescent="0.3">
      <c r="B8" s="2">
        <v>1</v>
      </c>
      <c r="C8" s="4" t="s">
        <v>207</v>
      </c>
      <c r="D8" s="2" t="s">
        <v>64</v>
      </c>
      <c r="E8" s="2" t="s">
        <v>208</v>
      </c>
      <c r="F8" s="2" t="s">
        <v>66</v>
      </c>
      <c r="G8" s="62" t="s">
        <v>209</v>
      </c>
      <c r="H8" s="2" t="s">
        <v>218</v>
      </c>
      <c r="I8" s="2" t="s">
        <v>214</v>
      </c>
      <c r="J8" s="33"/>
      <c r="L8" s="2" t="s">
        <v>228</v>
      </c>
      <c r="M8" s="15">
        <f>COUNTIF(F8:F33,"*비용절감*")</f>
        <v>3</v>
      </c>
    </row>
    <row r="9" spans="2:13" x14ac:dyDescent="0.3">
      <c r="B9" s="2">
        <v>2</v>
      </c>
      <c r="C9" s="2" t="s">
        <v>207</v>
      </c>
      <c r="D9" s="2" t="s">
        <v>64</v>
      </c>
      <c r="E9" s="2" t="s">
        <v>197</v>
      </c>
      <c r="F9" s="2" t="s">
        <v>66</v>
      </c>
      <c r="G9" s="62" t="s">
        <v>209</v>
      </c>
      <c r="H9" s="2" t="s">
        <v>218</v>
      </c>
      <c r="I9" s="2" t="s">
        <v>214</v>
      </c>
      <c r="J9" s="33"/>
      <c r="L9" s="4" t="s">
        <v>188</v>
      </c>
      <c r="M9" s="15">
        <f>COUNTIF(F8:F33,"*사용자퇴사*")</f>
        <v>5</v>
      </c>
    </row>
    <row r="10" spans="2:13" x14ac:dyDescent="0.3">
      <c r="B10" s="2">
        <v>3</v>
      </c>
      <c r="C10" s="4" t="s">
        <v>271</v>
      </c>
      <c r="D10" s="2" t="s">
        <v>263</v>
      </c>
      <c r="E10" s="2" t="s">
        <v>273</v>
      </c>
      <c r="F10" s="2" t="s">
        <v>231</v>
      </c>
      <c r="G10" s="62" t="s">
        <v>274</v>
      </c>
      <c r="H10" s="2" t="s">
        <v>275</v>
      </c>
      <c r="I10" s="2" t="s">
        <v>276</v>
      </c>
      <c r="J10" s="33"/>
      <c r="L10" s="2" t="s">
        <v>230</v>
      </c>
      <c r="M10" s="15">
        <f>COUNTIF(F8:F33,"*조직개편*")</f>
        <v>0</v>
      </c>
    </row>
    <row r="11" spans="2:13" x14ac:dyDescent="0.3">
      <c r="B11" s="2">
        <v>4</v>
      </c>
      <c r="C11" s="4" t="s">
        <v>271</v>
      </c>
      <c r="D11" s="2" t="s">
        <v>290</v>
      </c>
      <c r="E11" s="2" t="s">
        <v>291</v>
      </c>
      <c r="F11" s="2" t="s">
        <v>188</v>
      </c>
      <c r="G11" s="62" t="s">
        <v>274</v>
      </c>
      <c r="H11" s="2" t="s">
        <v>294</v>
      </c>
      <c r="I11" s="2" t="s">
        <v>295</v>
      </c>
      <c r="J11" s="33">
        <v>750000</v>
      </c>
      <c r="L11" s="2" t="s">
        <v>231</v>
      </c>
      <c r="M11" s="15">
        <f>COUNTIF(F8:F33,"*휴직/장기출장*")</f>
        <v>1</v>
      </c>
    </row>
    <row r="12" spans="2:13" x14ac:dyDescent="0.3">
      <c r="B12" s="2">
        <v>5</v>
      </c>
      <c r="C12" s="4" t="s">
        <v>271</v>
      </c>
      <c r="D12" s="2" t="s">
        <v>183</v>
      </c>
      <c r="E12" s="2" t="s">
        <v>298</v>
      </c>
      <c r="F12" s="2" t="s">
        <v>188</v>
      </c>
      <c r="G12" s="62" t="s">
        <v>274</v>
      </c>
      <c r="H12" s="2" t="s">
        <v>300</v>
      </c>
      <c r="I12" s="2" t="s">
        <v>301</v>
      </c>
      <c r="J12" s="33">
        <v>500000</v>
      </c>
      <c r="L12" s="2" t="s">
        <v>229</v>
      </c>
      <c r="M12" s="15">
        <f>COUNTIF(F8:F34,"*합병매각*")</f>
        <v>2</v>
      </c>
    </row>
    <row r="13" spans="2:13" x14ac:dyDescent="0.3">
      <c r="B13" s="2">
        <v>6</v>
      </c>
      <c r="C13" s="4" t="s">
        <v>324</v>
      </c>
      <c r="D13" s="2" t="s">
        <v>183</v>
      </c>
      <c r="E13" s="2" t="s">
        <v>326</v>
      </c>
      <c r="F13" s="2" t="s">
        <v>227</v>
      </c>
      <c r="G13" s="62" t="s">
        <v>274</v>
      </c>
      <c r="H13" s="2" t="s">
        <v>329</v>
      </c>
      <c r="I13" s="2" t="s">
        <v>330</v>
      </c>
      <c r="J13" s="33"/>
      <c r="L13" s="2" t="s">
        <v>226</v>
      </c>
      <c r="M13" s="15">
        <f>COUNTIF(F8:F33,"*활용저조*")</f>
        <v>0</v>
      </c>
    </row>
    <row r="14" spans="2:13" x14ac:dyDescent="0.3">
      <c r="B14" s="2">
        <v>7</v>
      </c>
      <c r="C14" s="4" t="s">
        <v>336</v>
      </c>
      <c r="D14" s="2" t="s">
        <v>284</v>
      </c>
      <c r="E14" s="2" t="s">
        <v>337</v>
      </c>
      <c r="F14" s="2" t="s">
        <v>188</v>
      </c>
      <c r="G14" s="62" t="s">
        <v>343</v>
      </c>
      <c r="H14" s="2" t="s">
        <v>344</v>
      </c>
      <c r="I14" s="2" t="s">
        <v>346</v>
      </c>
      <c r="J14" s="33"/>
      <c r="L14" s="2" t="s">
        <v>232</v>
      </c>
      <c r="M14" s="15">
        <f>COUNTIF(F8:F36,"*타사대체*")</f>
        <v>0</v>
      </c>
    </row>
    <row r="15" spans="2:13" x14ac:dyDescent="0.3">
      <c r="B15" s="2">
        <v>8</v>
      </c>
      <c r="C15" s="4" t="s">
        <v>336</v>
      </c>
      <c r="D15" s="2" t="s">
        <v>284</v>
      </c>
      <c r="E15" s="2" t="s">
        <v>338</v>
      </c>
      <c r="F15" s="2" t="s">
        <v>228</v>
      </c>
      <c r="G15" s="62" t="s">
        <v>274</v>
      </c>
      <c r="H15" s="2" t="s">
        <v>344</v>
      </c>
      <c r="I15" s="2" t="s">
        <v>347</v>
      </c>
      <c r="J15" s="33"/>
      <c r="L15" s="2" t="s">
        <v>233</v>
      </c>
      <c r="M15" s="15">
        <f>COUNTIF(F8:F37,"*비용미납*")</f>
        <v>0</v>
      </c>
    </row>
    <row r="16" spans="2:13" x14ac:dyDescent="0.3">
      <c r="B16" s="2">
        <v>9</v>
      </c>
      <c r="C16" s="4" t="s">
        <v>336</v>
      </c>
      <c r="D16" s="2" t="s">
        <v>284</v>
      </c>
      <c r="E16" s="2" t="s">
        <v>339</v>
      </c>
      <c r="F16" s="2" t="s">
        <v>188</v>
      </c>
      <c r="G16" s="62" t="s">
        <v>274</v>
      </c>
      <c r="H16" s="2" t="s">
        <v>345</v>
      </c>
      <c r="I16" s="2" t="s">
        <v>348</v>
      </c>
      <c r="J16" s="33"/>
      <c r="L16" s="2" t="s">
        <v>234</v>
      </c>
      <c r="M16" s="15">
        <f>SUM(M7:M15)</f>
        <v>22</v>
      </c>
    </row>
    <row r="17" spans="2:10" x14ac:dyDescent="0.3">
      <c r="B17" s="2">
        <v>10</v>
      </c>
      <c r="C17" s="4" t="s">
        <v>364</v>
      </c>
      <c r="D17" s="2" t="s">
        <v>290</v>
      </c>
      <c r="E17" s="2" t="s">
        <v>366</v>
      </c>
      <c r="F17" s="2" t="s">
        <v>227</v>
      </c>
      <c r="G17" s="62" t="s">
        <v>368</v>
      </c>
      <c r="H17" s="2" t="s">
        <v>369</v>
      </c>
      <c r="I17" s="2" t="s">
        <v>370</v>
      </c>
      <c r="J17" s="33"/>
    </row>
    <row r="18" spans="2:10" x14ac:dyDescent="0.3">
      <c r="B18" s="2">
        <v>11</v>
      </c>
      <c r="C18" s="4" t="s">
        <v>378</v>
      </c>
      <c r="D18" s="2" t="s">
        <v>290</v>
      </c>
      <c r="E18" s="2" t="s">
        <v>391</v>
      </c>
      <c r="F18" s="2" t="s">
        <v>228</v>
      </c>
      <c r="G18" s="62" t="s">
        <v>393</v>
      </c>
      <c r="H18" s="2" t="s">
        <v>394</v>
      </c>
      <c r="I18" s="2" t="s">
        <v>395</v>
      </c>
      <c r="J18" s="33"/>
    </row>
    <row r="19" spans="2:10" x14ac:dyDescent="0.3">
      <c r="B19" s="2">
        <v>12</v>
      </c>
      <c r="C19" s="4" t="s">
        <v>397</v>
      </c>
      <c r="D19" s="2" t="s">
        <v>183</v>
      </c>
      <c r="E19" s="2" t="s">
        <v>399</v>
      </c>
      <c r="F19" s="2" t="s">
        <v>227</v>
      </c>
      <c r="G19" s="62" t="s">
        <v>274</v>
      </c>
      <c r="H19" s="2" t="s">
        <v>402</v>
      </c>
      <c r="I19" s="2" t="s">
        <v>403</v>
      </c>
      <c r="J19" s="33"/>
    </row>
    <row r="20" spans="2:10" x14ac:dyDescent="0.3">
      <c r="B20" s="2">
        <v>13</v>
      </c>
      <c r="C20" s="55" t="s">
        <v>409</v>
      </c>
      <c r="D20" s="55" t="s">
        <v>41</v>
      </c>
      <c r="E20" s="2" t="s">
        <v>408</v>
      </c>
      <c r="F20" s="2" t="s">
        <v>229</v>
      </c>
      <c r="G20" s="62" t="s">
        <v>274</v>
      </c>
      <c r="H20" s="55" t="s">
        <v>48</v>
      </c>
      <c r="I20" s="55" t="s">
        <v>171</v>
      </c>
      <c r="J20" s="33"/>
    </row>
    <row r="21" spans="2:10" x14ac:dyDescent="0.3">
      <c r="B21" s="2">
        <v>14</v>
      </c>
      <c r="C21" s="55" t="s">
        <v>409</v>
      </c>
      <c r="D21" s="55" t="s">
        <v>185</v>
      </c>
      <c r="E21" s="2" t="s">
        <v>412</v>
      </c>
      <c r="F21" s="2" t="s">
        <v>227</v>
      </c>
      <c r="G21" s="62" t="s">
        <v>415</v>
      </c>
      <c r="H21" s="55" t="s">
        <v>416</v>
      </c>
      <c r="I21" s="55" t="s">
        <v>417</v>
      </c>
      <c r="J21" s="33"/>
    </row>
    <row r="22" spans="2:10" x14ac:dyDescent="0.3">
      <c r="B22" s="2">
        <v>15</v>
      </c>
      <c r="C22" s="4" t="s">
        <v>409</v>
      </c>
      <c r="D22" s="2" t="s">
        <v>185</v>
      </c>
      <c r="E22" s="2" t="s">
        <v>413</v>
      </c>
      <c r="F22" s="2" t="s">
        <v>227</v>
      </c>
      <c r="G22" s="62" t="s">
        <v>418</v>
      </c>
      <c r="H22" s="55" t="s">
        <v>416</v>
      </c>
      <c r="I22" s="55" t="s">
        <v>417</v>
      </c>
      <c r="J22" s="33"/>
    </row>
    <row r="23" spans="2:10" x14ac:dyDescent="0.3">
      <c r="B23" s="2">
        <v>16</v>
      </c>
      <c r="C23" s="4">
        <v>26.0319</v>
      </c>
      <c r="D23" s="2" t="s">
        <v>420</v>
      </c>
      <c r="E23" s="2" t="s">
        <v>421</v>
      </c>
      <c r="F23" s="2" t="s">
        <v>188</v>
      </c>
      <c r="G23" s="62" t="s">
        <v>430</v>
      </c>
      <c r="H23" s="2" t="s">
        <v>422</v>
      </c>
      <c r="I23" s="2" t="s">
        <v>423</v>
      </c>
      <c r="J23" s="33"/>
    </row>
    <row r="24" spans="2:10" x14ac:dyDescent="0.3">
      <c r="B24" s="2">
        <v>17</v>
      </c>
      <c r="C24" s="4" t="s">
        <v>424</v>
      </c>
      <c r="D24" s="2" t="s">
        <v>290</v>
      </c>
      <c r="E24" s="2" t="s">
        <v>425</v>
      </c>
      <c r="F24" s="2" t="s">
        <v>426</v>
      </c>
      <c r="G24" s="62" t="s">
        <v>274</v>
      </c>
      <c r="H24" s="2" t="s">
        <v>428</v>
      </c>
      <c r="I24" s="2" t="s">
        <v>429</v>
      </c>
      <c r="J24" s="33"/>
    </row>
    <row r="25" spans="2:10" x14ac:dyDescent="0.3">
      <c r="B25" s="2">
        <v>18</v>
      </c>
      <c r="C25" s="4" t="s">
        <v>431</v>
      </c>
      <c r="D25" s="2" t="s">
        <v>432</v>
      </c>
      <c r="E25" s="2" t="s">
        <v>433</v>
      </c>
      <c r="F25" s="2" t="s">
        <v>228</v>
      </c>
      <c r="G25" s="62" t="s">
        <v>274</v>
      </c>
      <c r="H25" s="2" t="s">
        <v>434</v>
      </c>
      <c r="I25" s="2" t="s">
        <v>435</v>
      </c>
      <c r="J25" s="33"/>
    </row>
    <row r="26" spans="2:10" x14ac:dyDescent="0.3">
      <c r="B26" s="2">
        <v>19</v>
      </c>
      <c r="C26" s="4" t="s">
        <v>436</v>
      </c>
      <c r="D26" s="2" t="s">
        <v>437</v>
      </c>
      <c r="E26" s="2" t="s">
        <v>438</v>
      </c>
      <c r="F26" s="2" t="s">
        <v>229</v>
      </c>
      <c r="G26" s="62" t="s">
        <v>274</v>
      </c>
      <c r="H26" s="55" t="s">
        <v>48</v>
      </c>
      <c r="I26" s="55" t="s">
        <v>171</v>
      </c>
      <c r="J26" s="33"/>
    </row>
    <row r="27" spans="2:10" x14ac:dyDescent="0.3">
      <c r="B27" s="2">
        <v>20</v>
      </c>
      <c r="C27" s="4" t="s">
        <v>441</v>
      </c>
      <c r="D27" s="2" t="s">
        <v>440</v>
      </c>
      <c r="E27" s="2" t="s">
        <v>439</v>
      </c>
      <c r="F27" s="2" t="s">
        <v>442</v>
      </c>
      <c r="G27" s="62" t="s">
        <v>443</v>
      </c>
      <c r="H27" s="2" t="s">
        <v>444</v>
      </c>
      <c r="I27" s="2" t="s">
        <v>445</v>
      </c>
      <c r="J27" s="33"/>
    </row>
    <row r="28" spans="2:10" x14ac:dyDescent="0.3">
      <c r="B28" s="2">
        <v>21</v>
      </c>
      <c r="C28" s="4" t="s">
        <v>531</v>
      </c>
      <c r="D28" s="2" t="s">
        <v>532</v>
      </c>
      <c r="E28" s="2" t="s">
        <v>533</v>
      </c>
      <c r="F28" s="2" t="s">
        <v>227</v>
      </c>
      <c r="G28" s="69" t="s">
        <v>274</v>
      </c>
      <c r="H28" s="2" t="s">
        <v>534</v>
      </c>
      <c r="I28" s="2" t="s">
        <v>535</v>
      </c>
      <c r="J28" s="33"/>
    </row>
    <row r="29" spans="2:10" x14ac:dyDescent="0.3">
      <c r="B29" s="2">
        <v>22</v>
      </c>
      <c r="C29" s="4" t="s">
        <v>536</v>
      </c>
      <c r="D29" s="2" t="s">
        <v>537</v>
      </c>
      <c r="E29" s="2" t="s">
        <v>538</v>
      </c>
      <c r="F29" s="2" t="s">
        <v>539</v>
      </c>
      <c r="G29" s="70" t="s">
        <v>540</v>
      </c>
      <c r="H29" s="2" t="s">
        <v>541</v>
      </c>
      <c r="I29" s="2" t="s">
        <v>542</v>
      </c>
      <c r="J29" s="33"/>
    </row>
    <row r="30" spans="2:10" x14ac:dyDescent="0.3">
      <c r="B30" s="2">
        <v>23</v>
      </c>
      <c r="C30" s="4" t="s">
        <v>543</v>
      </c>
      <c r="D30" s="2" t="s">
        <v>544</v>
      </c>
      <c r="E30" s="2" t="s">
        <v>545</v>
      </c>
      <c r="F30" s="2" t="s">
        <v>546</v>
      </c>
      <c r="G30" s="62" t="s">
        <v>547</v>
      </c>
      <c r="H30" s="2" t="s">
        <v>548</v>
      </c>
      <c r="I30" s="2" t="s">
        <v>549</v>
      </c>
      <c r="J30" s="33"/>
    </row>
    <row r="31" spans="2:10" x14ac:dyDescent="0.3">
      <c r="B31" s="2"/>
      <c r="C31" s="4"/>
      <c r="D31" s="2"/>
      <c r="E31" s="2"/>
      <c r="F31" s="2"/>
      <c r="G31" s="62"/>
      <c r="H31" s="2"/>
      <c r="I31" s="2"/>
      <c r="J31" s="33"/>
    </row>
    <row r="32" spans="2:10" x14ac:dyDescent="0.3">
      <c r="B32" s="2"/>
      <c r="C32" s="4"/>
      <c r="D32" s="2"/>
      <c r="E32" s="2"/>
      <c r="F32" s="2"/>
      <c r="G32" s="62"/>
      <c r="H32" s="2"/>
      <c r="I32" s="2"/>
      <c r="J32" s="33"/>
    </row>
    <row r="33" spans="2:10" x14ac:dyDescent="0.3">
      <c r="B33" s="2"/>
      <c r="C33" s="4"/>
      <c r="D33" s="2"/>
      <c r="E33" s="2"/>
      <c r="F33" s="2"/>
      <c r="G33" s="62"/>
      <c r="H33" s="2"/>
      <c r="I33" s="2"/>
      <c r="J33" s="33"/>
    </row>
    <row r="34" spans="2:10" ht="26.25" x14ac:dyDescent="0.3">
      <c r="B34" s="9" t="s">
        <v>11</v>
      </c>
      <c r="C34" s="7"/>
      <c r="D34" s="7"/>
      <c r="E34" s="7"/>
      <c r="F34" s="7"/>
      <c r="G34" s="7"/>
      <c r="H34" s="7"/>
      <c r="I34" s="7"/>
      <c r="J34" s="8"/>
    </row>
    <row r="35" spans="2:10" x14ac:dyDescent="0.3">
      <c r="B35" s="6" t="s">
        <v>12</v>
      </c>
      <c r="C35" s="6" t="s">
        <v>3</v>
      </c>
      <c r="D35" s="6" t="s">
        <v>4</v>
      </c>
      <c r="E35" s="6" t="s">
        <v>5</v>
      </c>
      <c r="F35" s="6" t="s">
        <v>13</v>
      </c>
      <c r="G35" s="6" t="s">
        <v>176</v>
      </c>
      <c r="H35" s="6" t="s">
        <v>14</v>
      </c>
      <c r="I35" s="6" t="s">
        <v>8</v>
      </c>
      <c r="J35" s="6" t="s">
        <v>9</v>
      </c>
    </row>
    <row r="36" spans="2:10" x14ac:dyDescent="0.3">
      <c r="B36" s="2">
        <v>1</v>
      </c>
      <c r="C36" s="2" t="s">
        <v>74</v>
      </c>
      <c r="D36" s="2" t="s">
        <v>184</v>
      </c>
      <c r="E36" s="2" t="s">
        <v>76</v>
      </c>
      <c r="F36" s="2" t="s">
        <v>77</v>
      </c>
      <c r="G36" s="12" t="s">
        <v>78</v>
      </c>
      <c r="H36" s="12" t="s">
        <v>190</v>
      </c>
      <c r="I36" s="2" t="s">
        <v>80</v>
      </c>
      <c r="J36" s="2" t="s">
        <v>81</v>
      </c>
    </row>
    <row r="37" spans="2:10" x14ac:dyDescent="0.3">
      <c r="B37" s="2">
        <v>2</v>
      </c>
      <c r="C37" s="2" t="s">
        <v>87</v>
      </c>
      <c r="D37" s="2" t="s">
        <v>182</v>
      </c>
      <c r="E37" s="2" t="s">
        <v>88</v>
      </c>
      <c r="F37" s="2" t="s">
        <v>89</v>
      </c>
      <c r="G37" s="12" t="s">
        <v>78</v>
      </c>
      <c r="H37" s="12" t="s">
        <v>189</v>
      </c>
      <c r="I37" s="2" t="s">
        <v>90</v>
      </c>
      <c r="J37" s="2" t="s">
        <v>91</v>
      </c>
    </row>
    <row r="38" spans="2:10" x14ac:dyDescent="0.3">
      <c r="B38" s="2">
        <v>3</v>
      </c>
      <c r="C38" s="2" t="s">
        <v>261</v>
      </c>
      <c r="D38" s="2" t="s">
        <v>41</v>
      </c>
      <c r="E38" s="2" t="s">
        <v>106</v>
      </c>
      <c r="F38" s="2" t="s">
        <v>27</v>
      </c>
      <c r="G38" s="12" t="s">
        <v>100</v>
      </c>
      <c r="H38" s="12" t="s">
        <v>189</v>
      </c>
      <c r="I38" s="2" t="s">
        <v>107</v>
      </c>
      <c r="J38" s="2" t="s">
        <v>49</v>
      </c>
    </row>
    <row r="39" spans="2:10" x14ac:dyDescent="0.3">
      <c r="B39" s="2">
        <v>4</v>
      </c>
      <c r="C39" s="2" t="s">
        <v>262</v>
      </c>
      <c r="D39" s="2" t="s">
        <v>263</v>
      </c>
      <c r="E39" s="2" t="s">
        <v>264</v>
      </c>
      <c r="F39" s="2" t="s">
        <v>27</v>
      </c>
      <c r="G39" s="12" t="s">
        <v>100</v>
      </c>
      <c r="H39" s="12" t="s">
        <v>189</v>
      </c>
      <c r="I39" s="2" t="s">
        <v>107</v>
      </c>
      <c r="J39" s="2" t="s">
        <v>265</v>
      </c>
    </row>
    <row r="40" spans="2:10" x14ac:dyDescent="0.3">
      <c r="B40" s="2">
        <v>5</v>
      </c>
      <c r="C40" s="2" t="s">
        <v>108</v>
      </c>
      <c r="D40" s="2" t="s">
        <v>182</v>
      </c>
      <c r="E40" s="2" t="s">
        <v>109</v>
      </c>
      <c r="F40" s="2" t="s">
        <v>27</v>
      </c>
      <c r="G40" s="12" t="s">
        <v>100</v>
      </c>
      <c r="H40" s="12" t="s">
        <v>110</v>
      </c>
      <c r="I40" s="2" t="s">
        <v>111</v>
      </c>
      <c r="J40" s="2" t="s">
        <v>112</v>
      </c>
    </row>
    <row r="41" spans="2:10" x14ac:dyDescent="0.3">
      <c r="B41" s="2">
        <v>6</v>
      </c>
      <c r="C41" s="2" t="s">
        <v>113</v>
      </c>
      <c r="D41" s="2" t="s">
        <v>182</v>
      </c>
      <c r="E41" s="2" t="s">
        <v>114</v>
      </c>
      <c r="F41" s="2" t="s">
        <v>99</v>
      </c>
      <c r="G41" s="12" t="s">
        <v>100</v>
      </c>
      <c r="H41" s="12" t="s">
        <v>189</v>
      </c>
      <c r="I41" s="2" t="s">
        <v>115</v>
      </c>
      <c r="J41" s="2" t="s">
        <v>116</v>
      </c>
    </row>
    <row r="42" spans="2:10" x14ac:dyDescent="0.3">
      <c r="B42" s="55">
        <v>7</v>
      </c>
      <c r="C42" s="55" t="s">
        <v>405</v>
      </c>
      <c r="D42" s="55" t="s">
        <v>103</v>
      </c>
      <c r="E42" s="55" t="s">
        <v>406</v>
      </c>
      <c r="F42" s="55" t="s">
        <v>27</v>
      </c>
      <c r="G42" s="12" t="s">
        <v>446</v>
      </c>
      <c r="H42" s="12" t="s">
        <v>355</v>
      </c>
      <c r="I42" s="55" t="s">
        <v>120</v>
      </c>
      <c r="J42" s="55" t="s">
        <v>121</v>
      </c>
    </row>
    <row r="43" spans="2:10" x14ac:dyDescent="0.3">
      <c r="B43" s="2">
        <v>8</v>
      </c>
      <c r="C43" s="2" t="s">
        <v>134</v>
      </c>
      <c r="D43" s="2" t="s">
        <v>103</v>
      </c>
      <c r="E43" s="2" t="s">
        <v>135</v>
      </c>
      <c r="F43" s="2" t="s">
        <v>27</v>
      </c>
      <c r="G43" s="12" t="s">
        <v>79</v>
      </c>
      <c r="H43" s="12" t="s">
        <v>136</v>
      </c>
      <c r="I43" s="2" t="s">
        <v>137</v>
      </c>
      <c r="J43" s="2" t="s">
        <v>138</v>
      </c>
    </row>
    <row r="44" spans="2:10" x14ac:dyDescent="0.3">
      <c r="B44" s="2">
        <v>9</v>
      </c>
      <c r="C44" s="2" t="s">
        <v>63</v>
      </c>
      <c r="D44" s="2" t="s">
        <v>64</v>
      </c>
      <c r="E44" s="2" t="s">
        <v>551</v>
      </c>
      <c r="F44" s="2" t="s">
        <v>27</v>
      </c>
      <c r="G44" s="12" t="s">
        <v>79</v>
      </c>
      <c r="H44" s="12" t="s">
        <v>550</v>
      </c>
      <c r="I44" s="2" t="s">
        <v>140</v>
      </c>
      <c r="J44" s="2" t="s">
        <v>141</v>
      </c>
    </row>
    <row r="45" spans="2:10" x14ac:dyDescent="0.3">
      <c r="B45" s="2">
        <v>10</v>
      </c>
      <c r="C45" s="2" t="s">
        <v>145</v>
      </c>
      <c r="D45" s="2" t="s">
        <v>59</v>
      </c>
      <c r="E45" s="2" t="s">
        <v>146</v>
      </c>
      <c r="F45" s="2" t="s">
        <v>27</v>
      </c>
      <c r="G45" s="12" t="s">
        <v>79</v>
      </c>
      <c r="H45" s="12" t="s">
        <v>136</v>
      </c>
      <c r="I45" s="2" t="s">
        <v>147</v>
      </c>
      <c r="J45" s="2" t="s">
        <v>148</v>
      </c>
    </row>
    <row r="46" spans="2:10" x14ac:dyDescent="0.3">
      <c r="B46" s="2">
        <v>11</v>
      </c>
      <c r="C46" s="2" t="s">
        <v>31</v>
      </c>
      <c r="D46" s="2" t="s">
        <v>64</v>
      </c>
      <c r="E46" s="2" t="s">
        <v>149</v>
      </c>
      <c r="F46" s="2" t="s">
        <v>150</v>
      </c>
      <c r="G46" s="12" t="s">
        <v>79</v>
      </c>
      <c r="H46" s="12" t="s">
        <v>136</v>
      </c>
      <c r="I46" s="2" t="s">
        <v>151</v>
      </c>
      <c r="J46" s="2" t="s">
        <v>152</v>
      </c>
    </row>
    <row r="47" spans="2:10" x14ac:dyDescent="0.3">
      <c r="B47" s="2">
        <v>12</v>
      </c>
      <c r="C47" s="2" t="s">
        <v>40</v>
      </c>
      <c r="D47" s="2" t="s">
        <v>32</v>
      </c>
      <c r="E47" s="2" t="s">
        <v>156</v>
      </c>
      <c r="F47" s="2" t="s">
        <v>27</v>
      </c>
      <c r="G47" s="12" t="s">
        <v>79</v>
      </c>
      <c r="H47" s="12" t="s">
        <v>110</v>
      </c>
      <c r="I47" s="2" t="s">
        <v>157</v>
      </c>
      <c r="J47" s="2" t="s">
        <v>158</v>
      </c>
    </row>
    <row r="48" spans="2:10" x14ac:dyDescent="0.3">
      <c r="B48" s="2">
        <v>13</v>
      </c>
      <c r="C48" s="2" t="s">
        <v>159</v>
      </c>
      <c r="D48" s="2" t="s">
        <v>103</v>
      </c>
      <c r="E48" s="2" t="s">
        <v>160</v>
      </c>
      <c r="F48" s="2" t="s">
        <v>27</v>
      </c>
      <c r="G48" s="12" t="s">
        <v>79</v>
      </c>
      <c r="H48" s="12" t="s">
        <v>110</v>
      </c>
      <c r="I48" s="2" t="s">
        <v>161</v>
      </c>
      <c r="J48" s="2" t="s">
        <v>162</v>
      </c>
    </row>
    <row r="49" spans="2:15" x14ac:dyDescent="0.3">
      <c r="B49" s="2">
        <v>14</v>
      </c>
      <c r="C49" s="2" t="s">
        <v>165</v>
      </c>
      <c r="D49" s="2" t="s">
        <v>64</v>
      </c>
      <c r="E49" s="2" t="s">
        <v>552</v>
      </c>
      <c r="F49" s="2" t="s">
        <v>99</v>
      </c>
      <c r="G49" s="12" t="s">
        <v>79</v>
      </c>
      <c r="H49" s="12" t="s">
        <v>354</v>
      </c>
      <c r="I49" s="2" t="s">
        <v>167</v>
      </c>
      <c r="J49" s="2" t="s">
        <v>223</v>
      </c>
      <c r="K49" s="16"/>
    </row>
    <row r="50" spans="2:15" x14ac:dyDescent="0.3">
      <c r="B50" s="2">
        <v>15</v>
      </c>
      <c r="C50" s="2" t="s">
        <v>173</v>
      </c>
      <c r="D50" s="2" t="s">
        <v>103</v>
      </c>
      <c r="E50" s="2" t="s">
        <v>174</v>
      </c>
      <c r="F50" s="2" t="s">
        <v>27</v>
      </c>
      <c r="G50" s="12" t="s">
        <v>110</v>
      </c>
      <c r="H50" s="12" t="s">
        <v>170</v>
      </c>
      <c r="I50" s="2" t="s">
        <v>80</v>
      </c>
      <c r="J50" s="2" t="s">
        <v>175</v>
      </c>
      <c r="K50" s="16"/>
      <c r="N50" s="16"/>
      <c r="O50" s="16"/>
    </row>
    <row r="51" spans="2:15" x14ac:dyDescent="0.3">
      <c r="B51" s="2">
        <v>16</v>
      </c>
      <c r="C51" s="4" t="s">
        <v>173</v>
      </c>
      <c r="D51" s="2" t="s">
        <v>103</v>
      </c>
      <c r="E51" s="2" t="s">
        <v>174</v>
      </c>
      <c r="F51" s="2" t="s">
        <v>27</v>
      </c>
      <c r="G51" s="12" t="s">
        <v>110</v>
      </c>
      <c r="H51" s="12" t="s">
        <v>170</v>
      </c>
      <c r="I51" s="2" t="s">
        <v>80</v>
      </c>
      <c r="J51" s="2" t="s">
        <v>175</v>
      </c>
      <c r="K51" s="16"/>
      <c r="N51" s="16"/>
      <c r="O51" s="16"/>
    </row>
    <row r="52" spans="2:15" x14ac:dyDescent="0.3">
      <c r="B52" s="2">
        <v>17</v>
      </c>
      <c r="C52" s="4" t="s">
        <v>196</v>
      </c>
      <c r="D52" s="2" t="s">
        <v>59</v>
      </c>
      <c r="E52" s="2" t="s">
        <v>219</v>
      </c>
      <c r="F52" s="2" t="s">
        <v>27</v>
      </c>
      <c r="G52" s="12" t="s">
        <v>110</v>
      </c>
      <c r="H52" s="12" t="s">
        <v>170</v>
      </c>
      <c r="I52" s="2" t="s">
        <v>221</v>
      </c>
      <c r="J52" s="2" t="s">
        <v>220</v>
      </c>
      <c r="K52" s="16"/>
      <c r="N52" s="16"/>
      <c r="O52" s="16"/>
    </row>
    <row r="53" spans="2:15" x14ac:dyDescent="0.3">
      <c r="B53" s="2">
        <v>18</v>
      </c>
      <c r="C53" s="2" t="s">
        <v>302</v>
      </c>
      <c r="D53" s="2" t="s">
        <v>284</v>
      </c>
      <c r="E53" s="2" t="s">
        <v>303</v>
      </c>
      <c r="F53" s="2"/>
      <c r="G53" s="12" t="s">
        <v>110</v>
      </c>
      <c r="H53" s="12" t="s">
        <v>190</v>
      </c>
      <c r="I53" s="2" t="s">
        <v>304</v>
      </c>
      <c r="J53" s="2" t="s">
        <v>305</v>
      </c>
      <c r="K53" s="16"/>
      <c r="N53" s="16"/>
      <c r="O53" s="16"/>
    </row>
    <row r="54" spans="2:15" x14ac:dyDescent="0.3">
      <c r="B54" s="2">
        <v>19</v>
      </c>
      <c r="C54" s="2" t="s">
        <v>311</v>
      </c>
      <c r="D54" s="2" t="s">
        <v>182</v>
      </c>
      <c r="E54" s="2" t="s">
        <v>313</v>
      </c>
      <c r="F54" s="2" t="s">
        <v>188</v>
      </c>
      <c r="G54" s="12" t="s">
        <v>189</v>
      </c>
      <c r="H54" s="12" t="s">
        <v>190</v>
      </c>
      <c r="I54" s="2" t="s">
        <v>315</v>
      </c>
      <c r="J54" s="2" t="s">
        <v>316</v>
      </c>
      <c r="K54" s="16"/>
      <c r="N54" s="16"/>
      <c r="O54" s="16"/>
    </row>
    <row r="55" spans="2:15" x14ac:dyDescent="0.3">
      <c r="B55" s="2">
        <v>20</v>
      </c>
      <c r="C55" s="64" t="s">
        <v>498</v>
      </c>
      <c r="D55" s="65" t="s">
        <v>499</v>
      </c>
      <c r="E55" s="65" t="s">
        <v>500</v>
      </c>
      <c r="F55" s="65" t="s">
        <v>501</v>
      </c>
      <c r="G55" s="66" t="s">
        <v>502</v>
      </c>
      <c r="H55" s="66" t="s">
        <v>503</v>
      </c>
      <c r="I55" s="65" t="s">
        <v>504</v>
      </c>
      <c r="J55" s="65" t="s">
        <v>505</v>
      </c>
      <c r="K55" s="16"/>
      <c r="N55" s="16"/>
      <c r="O55" s="16"/>
    </row>
    <row r="56" spans="2:15" x14ac:dyDescent="0.3">
      <c r="B56" s="2">
        <v>21</v>
      </c>
      <c r="C56" s="65" t="s">
        <v>506</v>
      </c>
      <c r="D56" s="65" t="s">
        <v>491</v>
      </c>
      <c r="E56" s="65" t="s">
        <v>507</v>
      </c>
      <c r="F56" s="65" t="s">
        <v>508</v>
      </c>
      <c r="G56" s="67" t="s">
        <v>502</v>
      </c>
      <c r="H56" s="67" t="s">
        <v>503</v>
      </c>
      <c r="I56" s="68" t="s">
        <v>509</v>
      </c>
      <c r="J56" s="68" t="s">
        <v>510</v>
      </c>
      <c r="K56" s="16"/>
      <c r="L56" s="16"/>
      <c r="M56" s="16"/>
      <c r="N56" s="16"/>
      <c r="O56" s="16"/>
    </row>
    <row r="57" spans="2:15" x14ac:dyDescent="0.3">
      <c r="B57" s="2">
        <v>22</v>
      </c>
      <c r="C57" s="65" t="s">
        <v>511</v>
      </c>
      <c r="D57" s="65" t="s">
        <v>512</v>
      </c>
      <c r="E57" s="65" t="s">
        <v>513</v>
      </c>
      <c r="F57" s="65" t="s">
        <v>508</v>
      </c>
      <c r="G57" s="67" t="s">
        <v>502</v>
      </c>
      <c r="H57" s="67" t="s">
        <v>503</v>
      </c>
      <c r="I57" s="68" t="s">
        <v>514</v>
      </c>
      <c r="J57" s="68" t="s">
        <v>515</v>
      </c>
      <c r="L57" s="16"/>
      <c r="M57" s="16"/>
      <c r="N57" s="16"/>
      <c r="O57" s="16"/>
    </row>
    <row r="58" spans="2:15" x14ac:dyDescent="0.3">
      <c r="B58" s="2">
        <v>23</v>
      </c>
      <c r="C58" s="65" t="s">
        <v>511</v>
      </c>
      <c r="D58" s="65" t="s">
        <v>491</v>
      </c>
      <c r="E58" s="65" t="s">
        <v>516</v>
      </c>
      <c r="F58" s="65" t="s">
        <v>501</v>
      </c>
      <c r="G58" s="67" t="s">
        <v>502</v>
      </c>
      <c r="H58" s="67" t="s">
        <v>517</v>
      </c>
      <c r="I58" s="68" t="s">
        <v>518</v>
      </c>
      <c r="J58" s="68" t="s">
        <v>519</v>
      </c>
    </row>
    <row r="59" spans="2:15" x14ac:dyDescent="0.3">
      <c r="B59" s="2">
        <v>24</v>
      </c>
      <c r="C59" s="65" t="s">
        <v>511</v>
      </c>
      <c r="D59" s="65" t="s">
        <v>499</v>
      </c>
      <c r="E59" s="65" t="s">
        <v>520</v>
      </c>
      <c r="F59" s="65" t="s">
        <v>501</v>
      </c>
      <c r="G59" s="67" t="s">
        <v>502</v>
      </c>
      <c r="H59" s="67" t="s">
        <v>503</v>
      </c>
      <c r="I59" s="68" t="s">
        <v>521</v>
      </c>
      <c r="J59" s="68" t="s">
        <v>522</v>
      </c>
    </row>
    <row r="60" spans="2:15" x14ac:dyDescent="0.3">
      <c r="B60" s="2">
        <v>25</v>
      </c>
      <c r="C60" s="65" t="s">
        <v>530</v>
      </c>
      <c r="D60" s="2" t="s">
        <v>529</v>
      </c>
      <c r="E60" s="2" t="s">
        <v>524</v>
      </c>
      <c r="F60" s="2" t="s">
        <v>526</v>
      </c>
      <c r="G60" s="67" t="s">
        <v>354</v>
      </c>
      <c r="H60" s="67" t="s">
        <v>190</v>
      </c>
      <c r="I60" s="39" t="s">
        <v>525</v>
      </c>
      <c r="J60" s="39" t="s">
        <v>528</v>
      </c>
    </row>
    <row r="61" spans="2:15" x14ac:dyDescent="0.3">
      <c r="B61" s="2">
        <v>26</v>
      </c>
      <c r="C61" s="65" t="s">
        <v>530</v>
      </c>
      <c r="D61" s="2" t="s">
        <v>529</v>
      </c>
      <c r="E61" s="2" t="s">
        <v>527</v>
      </c>
      <c r="F61" s="2" t="s">
        <v>526</v>
      </c>
      <c r="G61" s="67" t="s">
        <v>354</v>
      </c>
      <c r="H61" s="67" t="s">
        <v>190</v>
      </c>
      <c r="I61" s="39" t="s">
        <v>525</v>
      </c>
      <c r="J61" s="39" t="s">
        <v>528</v>
      </c>
    </row>
    <row r="62" spans="2:15" x14ac:dyDescent="0.3">
      <c r="B62" s="2"/>
      <c r="C62" s="2"/>
      <c r="D62" s="2"/>
      <c r="E62" s="2"/>
      <c r="F62" s="2"/>
      <c r="G62" s="38"/>
      <c r="H62" s="38"/>
      <c r="I62" s="39"/>
      <c r="J62" s="39"/>
    </row>
    <row r="63" spans="2:15" ht="20.25" x14ac:dyDescent="0.3">
      <c r="B63" s="72" t="s">
        <v>180</v>
      </c>
      <c r="C63" s="73"/>
      <c r="D63" s="73"/>
      <c r="E63" s="73"/>
      <c r="F63" s="73"/>
      <c r="G63" s="73"/>
      <c r="H63" s="73"/>
      <c r="I63" s="73"/>
      <c r="J63" s="74"/>
    </row>
  </sheetData>
  <autoFilter ref="B35:J57">
    <sortState ref="B35:J57">
      <sortCondition ref="C32:C64"/>
    </sortState>
  </autoFilter>
  <mergeCells count="8">
    <mergeCell ref="L6:M6"/>
    <mergeCell ref="B63:J63"/>
    <mergeCell ref="B2:J3"/>
    <mergeCell ref="D4:E4"/>
    <mergeCell ref="F4:H5"/>
    <mergeCell ref="I4:J5"/>
    <mergeCell ref="D5:E5"/>
    <mergeCell ref="B6:J6"/>
  </mergeCells>
  <phoneticPr fontId="1" type="noConversion"/>
  <conditionalFormatting sqref="C33:J33 C41:J41 C44:J44 C47:J47 B46:J46 C49:G49 I49:J49 C54:J54 G53:H53 G55:H56 B48:J48 C10:E10 G10:J10">
    <cfRule type="expression" dxfId="665" priority="143">
      <formula>$C11&lt;&gt;" "</formula>
    </cfRule>
    <cfRule type="expression" dxfId="664" priority="144">
      <formula>$C$7</formula>
    </cfRule>
  </conditionalFormatting>
  <conditionalFormatting sqref="C43:J43 C54:J54 G61:H62 G42:H42">
    <cfRule type="expression" dxfId="663" priority="141">
      <formula>$C45&lt;&gt;" "</formula>
    </cfRule>
    <cfRule type="expression" dxfId="662" priority="142">
      <formula>$C$7</formula>
    </cfRule>
  </conditionalFormatting>
  <conditionalFormatting sqref="C38:J39 B38:B40 B43:B44 C45:J47 G55:H55 G62:H62 B54:J54 G53:H53 B49:B53 B55:B59">
    <cfRule type="expression" dxfId="661" priority="139">
      <formula>$C40&lt;&gt;" "</formula>
    </cfRule>
    <cfRule type="expression" dxfId="660" priority="140">
      <formula>$C$7</formula>
    </cfRule>
  </conditionalFormatting>
  <conditionalFormatting sqref="G61:H61 B8 B10 B12 B14 B16 B18 B20 B22 B24 B26">
    <cfRule type="expression" dxfId="659" priority="137">
      <formula>$C16&lt;&gt;" "</formula>
    </cfRule>
    <cfRule type="expression" dxfId="658" priority="138">
      <formula>$C$7</formula>
    </cfRule>
  </conditionalFormatting>
  <conditionalFormatting sqref="B11:B27">
    <cfRule type="expression" dxfId="657" priority="135">
      <formula>$C40&lt;&gt;" "</formula>
    </cfRule>
    <cfRule type="expression" dxfId="656" priority="136">
      <formula>$C$7</formula>
    </cfRule>
  </conditionalFormatting>
  <conditionalFormatting sqref="C48:J49 C40:J40 C11:J19 C22:J25 J26 B45:J45 B37:B44 C42:J42 C37:J37 B35:J36 J20:J21 E20:G21 C26:G26 C8:J8 B46:B60 B8:B33 C27:J32">
    <cfRule type="expression" dxfId="655" priority="133">
      <formula>#REF!&lt;&gt;" "</formula>
    </cfRule>
    <cfRule type="expression" dxfId="654" priority="134">
      <formula>$C$7</formula>
    </cfRule>
  </conditionalFormatting>
  <conditionalFormatting sqref="G62:H62 G54:H59 B54:B60">
    <cfRule type="expression" dxfId="653" priority="131">
      <formula>$C61&lt;&gt;" "</formula>
    </cfRule>
    <cfRule type="expression" dxfId="652" priority="132">
      <formula>$C$7</formula>
    </cfRule>
  </conditionalFormatting>
  <conditionalFormatting sqref="C50:J52 G58:H58 B7:J7 G59:G60 G60:H61">
    <cfRule type="expression" dxfId="651" priority="129">
      <formula>$C11&lt;&gt;" "</formula>
    </cfRule>
    <cfRule type="expression" dxfId="650" priority="130">
      <formula>$C$7</formula>
    </cfRule>
  </conditionalFormatting>
  <conditionalFormatting sqref="C50:J50 H20:I20 C20:D20 H26:I26 G57:H60">
    <cfRule type="expression" dxfId="649" priority="127">
      <formula>$C25&lt;&gt;" "</formula>
    </cfRule>
    <cfRule type="expression" dxfId="648" priority="128">
      <formula>$C$7</formula>
    </cfRule>
  </conditionalFormatting>
  <conditionalFormatting sqref="C50:J50 G55:H60">
    <cfRule type="expression" dxfId="647" priority="125">
      <formula>$C56&lt;&gt;" "</formula>
    </cfRule>
    <cfRule type="expression" dxfId="646" priority="126">
      <formula>$C$7</formula>
    </cfRule>
  </conditionalFormatting>
  <conditionalFormatting sqref="B20 B32 B24:B29">
    <cfRule type="expression" dxfId="645" priority="123">
      <formula>$C46&lt;&gt;" "</formula>
    </cfRule>
    <cfRule type="expression" dxfId="644" priority="124">
      <formula>$C$7</formula>
    </cfRule>
  </conditionalFormatting>
  <conditionalFormatting sqref="B8:B27">
    <cfRule type="expression" dxfId="643" priority="119">
      <formula>$C42&lt;&gt;" "</formula>
    </cfRule>
    <cfRule type="expression" dxfId="642" priority="120">
      <formula>$C$7</formula>
    </cfRule>
  </conditionalFormatting>
  <conditionalFormatting sqref="B23 B16:B21">
    <cfRule type="expression" dxfId="641" priority="115">
      <formula>$C49&lt;&gt;" "</formula>
    </cfRule>
    <cfRule type="expression" dxfId="640" priority="116">
      <formula>$C$7</formula>
    </cfRule>
  </conditionalFormatting>
  <conditionalFormatting sqref="G58:H58 G59:G60 G60:H60">
    <cfRule type="expression" dxfId="639" priority="113">
      <formula>$C67&lt;&gt;" "</formula>
    </cfRule>
    <cfRule type="expression" dxfId="638" priority="114">
      <formula>$C$7</formula>
    </cfRule>
  </conditionalFormatting>
  <conditionalFormatting sqref="C52:J54 G57:H60">
    <cfRule type="expression" dxfId="637" priority="111">
      <formula>$C62&lt;&gt;" "</formula>
    </cfRule>
    <cfRule type="expression" dxfId="636" priority="112">
      <formula>$C$7</formula>
    </cfRule>
  </conditionalFormatting>
  <conditionalFormatting sqref="B23">
    <cfRule type="expression" dxfId="635" priority="109">
      <formula>$C46&lt;&gt;" "</formula>
    </cfRule>
    <cfRule type="expression" dxfId="634" priority="110">
      <formula>$C$7</formula>
    </cfRule>
  </conditionalFormatting>
  <conditionalFormatting sqref="B12 B28:B29 B14 B16 B18 B20 B22 B24 B26">
    <cfRule type="expression" dxfId="633" priority="105">
      <formula>$C33&lt;&gt;" "</formula>
    </cfRule>
    <cfRule type="expression" dxfId="632" priority="106">
      <formula>$C$7</formula>
    </cfRule>
  </conditionalFormatting>
  <conditionalFormatting sqref="B30:B31 B24:B26">
    <cfRule type="expression" dxfId="631" priority="103">
      <formula>$C46&lt;&gt;" "</formula>
    </cfRule>
    <cfRule type="expression" dxfId="630" priority="104">
      <formula>$C$7</formula>
    </cfRule>
  </conditionalFormatting>
  <conditionalFormatting sqref="B21">
    <cfRule type="expression" dxfId="629" priority="101">
      <formula>$C56&lt;&gt;" "</formula>
    </cfRule>
    <cfRule type="expression" dxfId="628" priority="102">
      <formula>$C$7</formula>
    </cfRule>
  </conditionalFormatting>
  <conditionalFormatting sqref="B22">
    <cfRule type="expression" dxfId="627" priority="99">
      <formula>$C46&lt;&gt;" "</formula>
    </cfRule>
    <cfRule type="expression" dxfId="626" priority="100">
      <formula>$C$7</formula>
    </cfRule>
  </conditionalFormatting>
  <conditionalFormatting sqref="G53:H59">
    <cfRule type="expression" dxfId="625" priority="97">
      <formula>$C64&lt;&gt;" "</formula>
    </cfRule>
    <cfRule type="expression" dxfId="624" priority="98">
      <formula>$C$7</formula>
    </cfRule>
  </conditionalFormatting>
  <conditionalFormatting sqref="B20 B10">
    <cfRule type="expression" dxfId="623" priority="95">
      <formula>$C46&lt;&gt;" "</formula>
    </cfRule>
    <cfRule type="expression" dxfId="622" priority="96">
      <formula>$C$7</formula>
    </cfRule>
  </conditionalFormatting>
  <conditionalFormatting sqref="B20 B10">
    <cfRule type="expression" dxfId="621" priority="93">
      <formula>$C40&lt;&gt;" "</formula>
    </cfRule>
    <cfRule type="expression" dxfId="620" priority="94">
      <formula>$C$7</formula>
    </cfRule>
  </conditionalFormatting>
  <conditionalFormatting sqref="B10 H21:I22 C50:J53 C21:D21">
    <cfRule type="expression" dxfId="619" priority="91">
      <formula>$C22&lt;&gt;" "</formula>
    </cfRule>
    <cfRule type="expression" dxfId="618" priority="92">
      <formula>$C$7</formula>
    </cfRule>
  </conditionalFormatting>
  <conditionalFormatting sqref="B12:B27">
    <cfRule type="expression" dxfId="617" priority="89">
      <formula>$C49&lt;&gt;" "</formula>
    </cfRule>
    <cfRule type="expression" dxfId="616" priority="90">
      <formula>$C$7</formula>
    </cfRule>
  </conditionalFormatting>
  <conditionalFormatting sqref="B10:B12 B14 B16 B18:B24 B26">
    <cfRule type="expression" dxfId="615" priority="87">
      <formula>$C37&lt;&gt;" "</formula>
    </cfRule>
    <cfRule type="expression" dxfId="614" priority="88">
      <formula>$C$7</formula>
    </cfRule>
  </conditionalFormatting>
  <conditionalFormatting sqref="B11:B27">
    <cfRule type="expression" dxfId="613" priority="85">
      <formula>$C50&lt;&gt;" "</formula>
    </cfRule>
    <cfRule type="expression" dxfId="612" priority="86">
      <formula>$C$7</formula>
    </cfRule>
  </conditionalFormatting>
  <conditionalFormatting sqref="C20:D21 H20:I22 H26:I26">
    <cfRule type="expression" dxfId="611" priority="81">
      <formula>$C33&lt;&gt;" "</formula>
    </cfRule>
    <cfRule type="expression" dxfId="610" priority="82">
      <formula>$C$7</formula>
    </cfRule>
  </conditionalFormatting>
  <conditionalFormatting sqref="B32 B9 B11 B13 B15 B17 B19 B21 B23 B25 B27">
    <cfRule type="expression" dxfId="609" priority="63">
      <formula>$C25&lt;&gt;" "</formula>
    </cfRule>
    <cfRule type="expression" dxfId="608" priority="64">
      <formula>$C$7</formula>
    </cfRule>
  </conditionalFormatting>
  <conditionalFormatting sqref="B30:B31 B8:B27">
    <cfRule type="expression" dxfId="607" priority="61">
      <formula>$C36&lt;&gt;" "</formula>
    </cfRule>
    <cfRule type="expression" dxfId="606" priority="62">
      <formula>$C$7</formula>
    </cfRule>
  </conditionalFormatting>
  <conditionalFormatting sqref="B30">
    <cfRule type="expression" dxfId="605" priority="59">
      <formula>$C48&lt;&gt;" "</formula>
    </cfRule>
    <cfRule type="expression" dxfId="604" priority="60">
      <formula>$C$7</formula>
    </cfRule>
  </conditionalFormatting>
  <conditionalFormatting sqref="B21">
    <cfRule type="expression" dxfId="603" priority="57">
      <formula>$C46&lt;&gt;" "</formula>
    </cfRule>
    <cfRule type="expression" dxfId="602" priority="58">
      <formula>$C$7</formula>
    </cfRule>
  </conditionalFormatting>
  <conditionalFormatting sqref="B19:B21">
    <cfRule type="expression" dxfId="601" priority="55">
      <formula>$C50&lt;&gt;" "</formula>
    </cfRule>
    <cfRule type="expression" dxfId="600" priority="56">
      <formula>$C$7</formula>
    </cfRule>
  </conditionalFormatting>
  <conditionalFormatting sqref="B18 B10">
    <cfRule type="expression" dxfId="599" priority="53">
      <formula>$C48&lt;&gt;" "</formula>
    </cfRule>
    <cfRule type="expression" dxfId="598" priority="54">
      <formula>$C$7</formula>
    </cfRule>
  </conditionalFormatting>
  <conditionalFormatting sqref="B8:B29">
    <cfRule type="expression" dxfId="597" priority="51">
      <formula>$C40&lt;&gt;" "</formula>
    </cfRule>
    <cfRule type="expression" dxfId="596" priority="52">
      <formula>$C$7</formula>
    </cfRule>
  </conditionalFormatting>
  <conditionalFormatting sqref="B32">
    <cfRule type="expression" dxfId="595" priority="31">
      <formula>$C52&lt;&gt;" "</formula>
    </cfRule>
    <cfRule type="expression" dxfId="594" priority="32">
      <formula>$C$7</formula>
    </cfRule>
  </conditionalFormatting>
  <conditionalFormatting sqref="L9">
    <cfRule type="expression" dxfId="593" priority="155">
      <formula>#REF!&lt;&gt;" "</formula>
    </cfRule>
    <cfRule type="expression" dxfId="592" priority="156">
      <formula>$C$7</formula>
    </cfRule>
  </conditionalFormatting>
  <conditionalFormatting sqref="C9:J9">
    <cfRule type="expression" dxfId="591" priority="251">
      <formula>#REF!&lt;&gt;" "</formula>
    </cfRule>
    <cfRule type="expression" dxfId="590" priority="252">
      <formula>$C$7</formula>
    </cfRule>
  </conditionalFormatting>
  <conditionalFormatting sqref="C8:J9 L9">
    <cfRule type="expression" dxfId="589" priority="285">
      <formula>#REF!&lt;&gt;" "</formula>
    </cfRule>
    <cfRule type="expression" dxfId="588" priority="286">
      <formula>$C$7</formula>
    </cfRule>
  </conditionalFormatting>
  <conditionalFormatting sqref="G60">
    <cfRule type="expression" dxfId="587" priority="23">
      <formula>$C67&lt;&gt;" "</formula>
    </cfRule>
    <cfRule type="expression" dxfId="586" priority="24">
      <formula>$C$7</formula>
    </cfRule>
  </conditionalFormatting>
  <conditionalFormatting sqref="G60">
    <cfRule type="expression" dxfId="585" priority="21">
      <formula>$C71&lt;&gt;" "</formula>
    </cfRule>
    <cfRule type="expression" dxfId="584" priority="22">
      <formula>$C$7</formula>
    </cfRule>
  </conditionalFormatting>
  <conditionalFormatting sqref="H60">
    <cfRule type="expression" dxfId="583" priority="19">
      <formula>$C67&lt;&gt;" "</formula>
    </cfRule>
    <cfRule type="expression" dxfId="582" priority="20">
      <formula>$C$7</formula>
    </cfRule>
  </conditionalFormatting>
  <conditionalFormatting sqref="H60">
    <cfRule type="expression" dxfId="581" priority="17">
      <formula>$C71&lt;&gt;" "</formula>
    </cfRule>
    <cfRule type="expression" dxfId="580" priority="18">
      <formula>$C$7</formula>
    </cfRule>
  </conditionalFormatting>
  <conditionalFormatting sqref="G61:H61">
    <cfRule type="expression" dxfId="579" priority="15">
      <formula>$C66&lt;&gt;" "</formula>
    </cfRule>
    <cfRule type="expression" dxfId="578" priority="16">
      <formula>$C$7</formula>
    </cfRule>
  </conditionalFormatting>
  <conditionalFormatting sqref="G61:H61">
    <cfRule type="expression" dxfId="577" priority="13">
      <formula>$C67&lt;&gt;" "</formula>
    </cfRule>
    <cfRule type="expression" dxfId="576" priority="14">
      <formula>$C$7</formula>
    </cfRule>
  </conditionalFormatting>
  <conditionalFormatting sqref="G61:H61">
    <cfRule type="expression" dxfId="575" priority="11">
      <formula>$C70&lt;&gt;" "</formula>
    </cfRule>
    <cfRule type="expression" dxfId="574" priority="12">
      <formula>$C$7</formula>
    </cfRule>
  </conditionalFormatting>
  <conditionalFormatting sqref="G61:H61">
    <cfRule type="expression" dxfId="573" priority="9">
      <formula>$C71&lt;&gt;" "</formula>
    </cfRule>
    <cfRule type="expression" dxfId="572" priority="10">
      <formula>$C$7</formula>
    </cfRule>
  </conditionalFormatting>
  <conditionalFormatting sqref="G61">
    <cfRule type="expression" dxfId="571" priority="7">
      <formula>$C68&lt;&gt;" "</formula>
    </cfRule>
    <cfRule type="expression" dxfId="570" priority="8">
      <formula>$C$7</formula>
    </cfRule>
  </conditionalFormatting>
  <conditionalFormatting sqref="G61">
    <cfRule type="expression" dxfId="569" priority="5">
      <formula>$C72&lt;&gt;" "</formula>
    </cfRule>
    <cfRule type="expression" dxfId="568" priority="6">
      <formula>$C$7</formula>
    </cfRule>
  </conditionalFormatting>
  <conditionalFormatting sqref="H61">
    <cfRule type="expression" dxfId="567" priority="3">
      <formula>$C68&lt;&gt;" "</formula>
    </cfRule>
    <cfRule type="expression" dxfId="566" priority="4">
      <formula>$C$7</formula>
    </cfRule>
  </conditionalFormatting>
  <conditionalFormatting sqref="H61">
    <cfRule type="expression" dxfId="565" priority="1">
      <formula>$C72&lt;&gt;" "</formula>
    </cfRule>
    <cfRule type="expression" dxfId="564" priority="2">
      <formula>$C$7</formula>
    </cfRule>
  </conditionalFormatting>
  <pageMargins left="0.7" right="0.7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69"/>
  <sheetViews>
    <sheetView zoomScale="85" zoomScaleNormal="85" workbookViewId="0">
      <selection activeCell="K17" sqref="K17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  <col min="11" max="11" width="20.75" customWidth="1"/>
    <col min="12" max="12" width="13.875" bestFit="1" customWidth="1"/>
  </cols>
  <sheetData>
    <row r="2" spans="2:13" x14ac:dyDescent="0.3">
      <c r="B2" s="75" t="s">
        <v>404</v>
      </c>
      <c r="C2" s="76"/>
      <c r="D2" s="76"/>
      <c r="E2" s="76"/>
      <c r="F2" s="76"/>
      <c r="G2" s="76"/>
      <c r="H2" s="76"/>
      <c r="I2" s="76"/>
      <c r="J2" s="77"/>
    </row>
    <row r="3" spans="2:13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3" ht="26.25" x14ac:dyDescent="0.3">
      <c r="B4" s="10" t="s">
        <v>0</v>
      </c>
      <c r="C4" s="11"/>
      <c r="D4" s="81">
        <f>COUNT(B8:B39)</f>
        <v>20</v>
      </c>
      <c r="E4" s="82"/>
      <c r="F4" s="83" t="s">
        <v>181</v>
      </c>
      <c r="G4" s="84"/>
      <c r="H4" s="84"/>
      <c r="I4" s="87" t="s">
        <v>179</v>
      </c>
      <c r="J4" s="88"/>
    </row>
    <row r="5" spans="2:13" ht="26.25" x14ac:dyDescent="0.3">
      <c r="B5" s="10" t="s">
        <v>1</v>
      </c>
      <c r="C5" s="11"/>
      <c r="D5" s="81">
        <f>COUNT(B42:B68)</f>
        <v>19</v>
      </c>
      <c r="E5" s="82"/>
      <c r="F5" s="85"/>
      <c r="G5" s="86"/>
      <c r="H5" s="86"/>
      <c r="I5" s="89"/>
      <c r="J5" s="90"/>
    </row>
    <row r="6" spans="2:13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  <c r="L6" s="71" t="s">
        <v>235</v>
      </c>
      <c r="M6" s="71"/>
    </row>
    <row r="7" spans="2:13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L7" s="2" t="s">
        <v>227</v>
      </c>
      <c r="M7" s="15">
        <f>COUNTIF(F8:F39,"*계약만료*")</f>
        <v>11</v>
      </c>
    </row>
    <row r="8" spans="2:13" x14ac:dyDescent="0.3">
      <c r="B8" s="2">
        <v>1</v>
      </c>
      <c r="C8" s="4" t="s">
        <v>207</v>
      </c>
      <c r="D8" s="2" t="s">
        <v>64</v>
      </c>
      <c r="E8" s="2" t="s">
        <v>208</v>
      </c>
      <c r="F8" s="2" t="s">
        <v>66</v>
      </c>
      <c r="G8" s="53" t="s">
        <v>209</v>
      </c>
      <c r="H8" s="2" t="s">
        <v>218</v>
      </c>
      <c r="I8" s="2" t="s">
        <v>214</v>
      </c>
      <c r="J8" s="33"/>
      <c r="L8" s="2" t="s">
        <v>228</v>
      </c>
      <c r="M8" s="15">
        <f>COUNTIF(F8:F39,"*비용절감*")</f>
        <v>4</v>
      </c>
    </row>
    <row r="9" spans="2:13" x14ac:dyDescent="0.3">
      <c r="B9" s="2">
        <v>2</v>
      </c>
      <c r="C9" s="2" t="s">
        <v>207</v>
      </c>
      <c r="D9" s="2" t="s">
        <v>64</v>
      </c>
      <c r="E9" s="2" t="s">
        <v>197</v>
      </c>
      <c r="F9" s="2" t="s">
        <v>66</v>
      </c>
      <c r="G9" s="53" t="s">
        <v>209</v>
      </c>
      <c r="H9" s="2" t="s">
        <v>218</v>
      </c>
      <c r="I9" s="2" t="s">
        <v>214</v>
      </c>
      <c r="J9" s="33"/>
      <c r="L9" s="4" t="s">
        <v>188</v>
      </c>
      <c r="M9" s="15">
        <f>COUNTIF(F8:F39,"*사용자퇴사*")</f>
        <v>7</v>
      </c>
    </row>
    <row r="10" spans="2:13" x14ac:dyDescent="0.3">
      <c r="B10" s="22"/>
      <c r="C10" s="23" t="s">
        <v>448</v>
      </c>
      <c r="D10" s="24" t="s">
        <v>449</v>
      </c>
      <c r="E10" s="24" t="s">
        <v>450</v>
      </c>
      <c r="F10" s="24" t="s">
        <v>66</v>
      </c>
      <c r="G10" s="25" t="s">
        <v>52</v>
      </c>
      <c r="H10" s="24" t="s">
        <v>451</v>
      </c>
      <c r="I10" s="24" t="s">
        <v>452</v>
      </c>
      <c r="J10" s="35"/>
      <c r="L10" s="2" t="s">
        <v>230</v>
      </c>
      <c r="M10" s="15">
        <f>COUNTIF(F8:F39,"*조직개편*")</f>
        <v>0</v>
      </c>
    </row>
    <row r="11" spans="2:13" x14ac:dyDescent="0.3">
      <c r="B11" s="24"/>
      <c r="C11" s="36" t="s">
        <v>448</v>
      </c>
      <c r="D11" s="24" t="s">
        <v>449</v>
      </c>
      <c r="E11" s="24" t="s">
        <v>453</v>
      </c>
      <c r="F11" s="24" t="s">
        <v>454</v>
      </c>
      <c r="G11" s="25" t="s">
        <v>52</v>
      </c>
      <c r="H11" s="24" t="s">
        <v>451</v>
      </c>
      <c r="I11" s="24" t="s">
        <v>452</v>
      </c>
      <c r="J11" s="35"/>
      <c r="L11" s="2" t="s">
        <v>231</v>
      </c>
      <c r="M11" s="15">
        <f>COUNTIF(F8:F39,"*휴직/장기출장*")</f>
        <v>1</v>
      </c>
    </row>
    <row r="12" spans="2:13" x14ac:dyDescent="0.3">
      <c r="B12" s="24"/>
      <c r="C12" s="36" t="s">
        <v>455</v>
      </c>
      <c r="D12" s="24" t="s">
        <v>456</v>
      </c>
      <c r="E12" s="24" t="s">
        <v>457</v>
      </c>
      <c r="F12" s="24" t="s">
        <v>458</v>
      </c>
      <c r="G12" s="25" t="s">
        <v>459</v>
      </c>
      <c r="H12" s="24" t="s">
        <v>460</v>
      </c>
      <c r="I12" s="40" t="s">
        <v>461</v>
      </c>
      <c r="J12" s="35"/>
      <c r="L12" s="2" t="s">
        <v>229</v>
      </c>
      <c r="M12" s="15">
        <f>COUNTIF(F8:F40,"*합병매각*")</f>
        <v>2</v>
      </c>
    </row>
    <row r="13" spans="2:13" x14ac:dyDescent="0.3">
      <c r="B13" s="24"/>
      <c r="C13" s="36" t="s">
        <v>455</v>
      </c>
      <c r="D13" s="24" t="s">
        <v>456</v>
      </c>
      <c r="E13" s="24" t="s">
        <v>462</v>
      </c>
      <c r="F13" s="24" t="s">
        <v>458</v>
      </c>
      <c r="G13" s="25" t="s">
        <v>459</v>
      </c>
      <c r="H13" s="24" t="s">
        <v>460</v>
      </c>
      <c r="I13" s="40" t="s">
        <v>461</v>
      </c>
      <c r="J13" s="35"/>
      <c r="L13" s="2" t="s">
        <v>226</v>
      </c>
      <c r="M13" s="15">
        <f>COUNTIF(F8:F39,"*활용저조*")</f>
        <v>0</v>
      </c>
    </row>
    <row r="14" spans="2:13" x14ac:dyDescent="0.3">
      <c r="B14" s="2">
        <v>3</v>
      </c>
      <c r="C14" s="4" t="s">
        <v>271</v>
      </c>
      <c r="D14" s="2" t="s">
        <v>263</v>
      </c>
      <c r="E14" s="2" t="s">
        <v>273</v>
      </c>
      <c r="F14" s="2" t="s">
        <v>231</v>
      </c>
      <c r="G14" s="53" t="s">
        <v>274</v>
      </c>
      <c r="H14" s="2" t="s">
        <v>275</v>
      </c>
      <c r="I14" s="2" t="s">
        <v>276</v>
      </c>
      <c r="J14" s="33"/>
      <c r="L14" s="2" t="s">
        <v>232</v>
      </c>
      <c r="M14" s="15">
        <f>COUNTIF(F8:F42,"*타사대체*")</f>
        <v>0</v>
      </c>
    </row>
    <row r="15" spans="2:13" x14ac:dyDescent="0.3">
      <c r="B15" s="2"/>
      <c r="C15" s="23" t="s">
        <v>463</v>
      </c>
      <c r="D15" s="24" t="s">
        <v>464</v>
      </c>
      <c r="E15" s="24" t="s">
        <v>465</v>
      </c>
      <c r="F15" s="24" t="s">
        <v>454</v>
      </c>
      <c r="G15" s="25" t="s">
        <v>459</v>
      </c>
      <c r="H15" s="24" t="s">
        <v>466</v>
      </c>
      <c r="I15" s="24" t="s">
        <v>283</v>
      </c>
      <c r="J15" s="35"/>
      <c r="L15" s="2" t="s">
        <v>233</v>
      </c>
      <c r="M15" s="15">
        <f>COUNTIF(F8:F43,"*비용미납*")</f>
        <v>0</v>
      </c>
    </row>
    <row r="16" spans="2:13" x14ac:dyDescent="0.3">
      <c r="B16" s="2"/>
      <c r="C16" s="23" t="s">
        <v>490</v>
      </c>
      <c r="D16" s="24" t="s">
        <v>491</v>
      </c>
      <c r="E16" s="24" t="s">
        <v>492</v>
      </c>
      <c r="F16" s="24" t="s">
        <v>493</v>
      </c>
      <c r="G16" s="25" t="s">
        <v>494</v>
      </c>
      <c r="H16" s="24" t="s">
        <v>495</v>
      </c>
      <c r="I16" s="24" t="s">
        <v>496</v>
      </c>
      <c r="J16" s="33"/>
      <c r="K16" s="40" t="s">
        <v>497</v>
      </c>
      <c r="L16" s="2" t="s">
        <v>234</v>
      </c>
      <c r="M16" s="15">
        <f>SUM(M7:M15)</f>
        <v>25</v>
      </c>
    </row>
    <row r="17" spans="2:10" x14ac:dyDescent="0.3">
      <c r="B17" s="2">
        <v>4</v>
      </c>
      <c r="C17" s="4" t="s">
        <v>271</v>
      </c>
      <c r="D17" s="2" t="s">
        <v>290</v>
      </c>
      <c r="E17" s="2" t="s">
        <v>291</v>
      </c>
      <c r="F17" s="2" t="s">
        <v>188</v>
      </c>
      <c r="G17" s="53" t="s">
        <v>274</v>
      </c>
      <c r="H17" s="2" t="s">
        <v>294</v>
      </c>
      <c r="I17" s="2" t="s">
        <v>295</v>
      </c>
      <c r="J17" s="33">
        <v>750000</v>
      </c>
    </row>
    <row r="18" spans="2:10" x14ac:dyDescent="0.3">
      <c r="B18" s="2">
        <v>5</v>
      </c>
      <c r="C18" s="4" t="s">
        <v>271</v>
      </c>
      <c r="D18" s="2" t="s">
        <v>183</v>
      </c>
      <c r="E18" s="2" t="s">
        <v>298</v>
      </c>
      <c r="F18" s="2" t="s">
        <v>188</v>
      </c>
      <c r="G18" s="53" t="s">
        <v>274</v>
      </c>
      <c r="H18" s="2" t="s">
        <v>300</v>
      </c>
      <c r="I18" s="2" t="s">
        <v>301</v>
      </c>
      <c r="J18" s="33">
        <v>500000</v>
      </c>
    </row>
    <row r="19" spans="2:10" x14ac:dyDescent="0.3">
      <c r="B19" s="2">
        <v>6</v>
      </c>
      <c r="C19" s="4" t="s">
        <v>324</v>
      </c>
      <c r="D19" s="2" t="s">
        <v>183</v>
      </c>
      <c r="E19" s="2" t="s">
        <v>326</v>
      </c>
      <c r="F19" s="2" t="s">
        <v>227</v>
      </c>
      <c r="G19" s="53" t="s">
        <v>274</v>
      </c>
      <c r="H19" s="2" t="s">
        <v>329</v>
      </c>
      <c r="I19" s="2" t="s">
        <v>330</v>
      </c>
      <c r="J19" s="33"/>
    </row>
    <row r="20" spans="2:10" x14ac:dyDescent="0.3">
      <c r="B20" s="2">
        <v>7</v>
      </c>
      <c r="C20" s="4" t="s">
        <v>336</v>
      </c>
      <c r="D20" s="2" t="s">
        <v>284</v>
      </c>
      <c r="E20" s="2" t="s">
        <v>337</v>
      </c>
      <c r="F20" s="2" t="s">
        <v>188</v>
      </c>
      <c r="G20" s="53" t="s">
        <v>343</v>
      </c>
      <c r="H20" s="2" t="s">
        <v>344</v>
      </c>
      <c r="I20" s="2" t="s">
        <v>346</v>
      </c>
      <c r="J20" s="33"/>
    </row>
    <row r="21" spans="2:10" x14ac:dyDescent="0.3">
      <c r="B21" s="2">
        <v>8</v>
      </c>
      <c r="C21" s="4" t="s">
        <v>336</v>
      </c>
      <c r="D21" s="2" t="s">
        <v>284</v>
      </c>
      <c r="E21" s="2" t="s">
        <v>338</v>
      </c>
      <c r="F21" s="2" t="s">
        <v>228</v>
      </c>
      <c r="G21" s="53" t="s">
        <v>274</v>
      </c>
      <c r="H21" s="2" t="s">
        <v>344</v>
      </c>
      <c r="I21" s="2" t="s">
        <v>347</v>
      </c>
      <c r="J21" s="33"/>
    </row>
    <row r="22" spans="2:10" x14ac:dyDescent="0.3">
      <c r="B22" s="2">
        <v>9</v>
      </c>
      <c r="C22" s="4" t="s">
        <v>336</v>
      </c>
      <c r="D22" s="2" t="s">
        <v>284</v>
      </c>
      <c r="E22" s="2" t="s">
        <v>339</v>
      </c>
      <c r="F22" s="2" t="s">
        <v>188</v>
      </c>
      <c r="G22" s="53" t="s">
        <v>274</v>
      </c>
      <c r="H22" s="2" t="s">
        <v>345</v>
      </c>
      <c r="I22" s="2" t="s">
        <v>348</v>
      </c>
      <c r="J22" s="33"/>
    </row>
    <row r="23" spans="2:10" x14ac:dyDescent="0.3">
      <c r="B23" s="2">
        <v>10</v>
      </c>
      <c r="C23" s="4" t="s">
        <v>364</v>
      </c>
      <c r="D23" s="2" t="s">
        <v>290</v>
      </c>
      <c r="E23" s="2" t="s">
        <v>366</v>
      </c>
      <c r="F23" s="2" t="s">
        <v>227</v>
      </c>
      <c r="G23" s="53" t="s">
        <v>368</v>
      </c>
      <c r="H23" s="2" t="s">
        <v>369</v>
      </c>
      <c r="I23" s="2" t="s">
        <v>370</v>
      </c>
      <c r="J23" s="33"/>
    </row>
    <row r="24" spans="2:10" x14ac:dyDescent="0.3">
      <c r="B24" s="2">
        <v>11</v>
      </c>
      <c r="C24" s="4" t="s">
        <v>378</v>
      </c>
      <c r="D24" s="2" t="s">
        <v>290</v>
      </c>
      <c r="E24" s="2" t="s">
        <v>391</v>
      </c>
      <c r="F24" s="2" t="s">
        <v>228</v>
      </c>
      <c r="G24" s="53" t="s">
        <v>393</v>
      </c>
      <c r="H24" s="2" t="s">
        <v>394</v>
      </c>
      <c r="I24" s="2" t="s">
        <v>395</v>
      </c>
      <c r="J24" s="33"/>
    </row>
    <row r="25" spans="2:10" x14ac:dyDescent="0.3">
      <c r="B25" s="2">
        <v>12</v>
      </c>
      <c r="C25" s="4" t="s">
        <v>397</v>
      </c>
      <c r="D25" s="2" t="s">
        <v>183</v>
      </c>
      <c r="E25" s="2" t="s">
        <v>399</v>
      </c>
      <c r="F25" s="2" t="s">
        <v>227</v>
      </c>
      <c r="G25" s="53" t="s">
        <v>274</v>
      </c>
      <c r="H25" s="2" t="s">
        <v>402</v>
      </c>
      <c r="I25" s="2" t="s">
        <v>403</v>
      </c>
      <c r="J25" s="33"/>
    </row>
    <row r="26" spans="2:10" x14ac:dyDescent="0.3">
      <c r="B26" s="2">
        <v>13</v>
      </c>
      <c r="C26" s="55" t="s">
        <v>409</v>
      </c>
      <c r="D26" s="55" t="s">
        <v>41</v>
      </c>
      <c r="E26" s="2" t="s">
        <v>408</v>
      </c>
      <c r="F26" s="2" t="s">
        <v>407</v>
      </c>
      <c r="G26" s="54" t="s">
        <v>274</v>
      </c>
      <c r="H26" s="55" t="s">
        <v>48</v>
      </c>
      <c r="I26" s="55" t="s">
        <v>171</v>
      </c>
      <c r="J26" s="33"/>
    </row>
    <row r="27" spans="2:10" x14ac:dyDescent="0.3">
      <c r="B27" s="2">
        <v>14</v>
      </c>
      <c r="C27" s="55" t="s">
        <v>411</v>
      </c>
      <c r="D27" s="55" t="s">
        <v>410</v>
      </c>
      <c r="E27" s="2" t="s">
        <v>412</v>
      </c>
      <c r="F27" s="2" t="s">
        <v>414</v>
      </c>
      <c r="G27" s="56" t="s">
        <v>415</v>
      </c>
      <c r="H27" s="55" t="s">
        <v>416</v>
      </c>
      <c r="I27" s="55" t="s">
        <v>417</v>
      </c>
      <c r="J27" s="33"/>
    </row>
    <row r="28" spans="2:10" x14ac:dyDescent="0.3">
      <c r="B28" s="2">
        <v>15</v>
      </c>
      <c r="C28" s="4" t="s">
        <v>411</v>
      </c>
      <c r="D28" s="2" t="s">
        <v>410</v>
      </c>
      <c r="E28" s="2" t="s">
        <v>413</v>
      </c>
      <c r="F28" s="2" t="s">
        <v>414</v>
      </c>
      <c r="G28" s="56" t="s">
        <v>418</v>
      </c>
      <c r="H28" s="55" t="s">
        <v>416</v>
      </c>
      <c r="I28" s="55" t="s">
        <v>417</v>
      </c>
      <c r="J28" s="33"/>
    </row>
    <row r="29" spans="2:10" x14ac:dyDescent="0.3">
      <c r="B29" s="2">
        <v>16</v>
      </c>
      <c r="C29" s="4">
        <v>26.0319</v>
      </c>
      <c r="D29" s="2" t="s">
        <v>420</v>
      </c>
      <c r="E29" s="2" t="s">
        <v>421</v>
      </c>
      <c r="F29" s="2" t="s">
        <v>188</v>
      </c>
      <c r="G29" s="59" t="s">
        <v>430</v>
      </c>
      <c r="H29" s="2" t="s">
        <v>422</v>
      </c>
      <c r="I29" s="2" t="s">
        <v>423</v>
      </c>
      <c r="J29" s="33"/>
    </row>
    <row r="30" spans="2:10" x14ac:dyDescent="0.3">
      <c r="B30" s="2">
        <v>17</v>
      </c>
      <c r="C30" s="4" t="s">
        <v>424</v>
      </c>
      <c r="D30" s="2" t="s">
        <v>290</v>
      </c>
      <c r="E30" s="2" t="s">
        <v>425</v>
      </c>
      <c r="F30" s="2" t="s">
        <v>426</v>
      </c>
      <c r="G30" s="58" t="s">
        <v>427</v>
      </c>
      <c r="H30" s="2" t="s">
        <v>428</v>
      </c>
      <c r="I30" s="2" t="s">
        <v>429</v>
      </c>
      <c r="J30" s="33"/>
    </row>
    <row r="31" spans="2:10" x14ac:dyDescent="0.3">
      <c r="B31" s="2">
        <v>18</v>
      </c>
      <c r="C31" s="4" t="s">
        <v>431</v>
      </c>
      <c r="D31" s="2" t="s">
        <v>432</v>
      </c>
      <c r="E31" s="2" t="s">
        <v>433</v>
      </c>
      <c r="F31" s="2" t="s">
        <v>228</v>
      </c>
      <c r="G31" s="60" t="s">
        <v>274</v>
      </c>
      <c r="H31" s="2" t="s">
        <v>434</v>
      </c>
      <c r="I31" s="2" t="s">
        <v>435</v>
      </c>
      <c r="J31" s="33"/>
    </row>
    <row r="32" spans="2:10" x14ac:dyDescent="0.3">
      <c r="B32" s="2">
        <v>19</v>
      </c>
      <c r="C32" s="4" t="s">
        <v>436</v>
      </c>
      <c r="D32" s="2" t="s">
        <v>437</v>
      </c>
      <c r="E32" s="2" t="s">
        <v>438</v>
      </c>
      <c r="F32" s="2" t="s">
        <v>229</v>
      </c>
      <c r="G32" s="61" t="s">
        <v>274</v>
      </c>
      <c r="H32" s="55" t="s">
        <v>48</v>
      </c>
      <c r="I32" s="55" t="s">
        <v>171</v>
      </c>
      <c r="J32" s="33"/>
    </row>
    <row r="33" spans="2:10" x14ac:dyDescent="0.3">
      <c r="B33" s="2">
        <v>20</v>
      </c>
      <c r="C33" s="4" t="s">
        <v>441</v>
      </c>
      <c r="D33" s="2" t="s">
        <v>440</v>
      </c>
      <c r="E33" s="2" t="s">
        <v>439</v>
      </c>
      <c r="F33" s="2" t="s">
        <v>442</v>
      </c>
      <c r="G33" s="60" t="s">
        <v>443</v>
      </c>
      <c r="H33" s="2" t="s">
        <v>444</v>
      </c>
      <c r="I33" s="2" t="s">
        <v>445</v>
      </c>
      <c r="J33" s="33"/>
    </row>
    <row r="34" spans="2:10" x14ac:dyDescent="0.3">
      <c r="B34" s="2"/>
      <c r="C34" s="4"/>
      <c r="D34" s="2"/>
      <c r="E34" s="2"/>
      <c r="F34" s="2"/>
      <c r="G34" s="60"/>
      <c r="H34" s="2"/>
      <c r="I34" s="2"/>
      <c r="J34" s="33"/>
    </row>
    <row r="35" spans="2:10" x14ac:dyDescent="0.3">
      <c r="B35" s="2"/>
      <c r="C35" s="4"/>
      <c r="D35" s="2"/>
      <c r="E35" s="2"/>
      <c r="F35" s="2"/>
      <c r="G35" s="60"/>
      <c r="H35" s="2"/>
      <c r="I35" s="2"/>
      <c r="J35" s="33"/>
    </row>
    <row r="36" spans="2:10" x14ac:dyDescent="0.3">
      <c r="B36" s="2"/>
      <c r="C36" s="4"/>
      <c r="D36" s="2"/>
      <c r="E36" s="2"/>
      <c r="F36" s="2"/>
      <c r="G36" s="60"/>
      <c r="H36" s="2"/>
      <c r="I36" s="2"/>
      <c r="J36" s="33"/>
    </row>
    <row r="37" spans="2:10" x14ac:dyDescent="0.3">
      <c r="B37" s="2"/>
      <c r="C37" s="4"/>
      <c r="D37" s="2"/>
      <c r="E37" s="2"/>
      <c r="F37" s="2"/>
      <c r="G37" s="60"/>
      <c r="H37" s="2"/>
      <c r="I37" s="2"/>
      <c r="J37" s="33"/>
    </row>
    <row r="38" spans="2:10" x14ac:dyDescent="0.3">
      <c r="B38" s="2"/>
      <c r="C38" s="4"/>
      <c r="D38" s="2"/>
      <c r="E38" s="2"/>
      <c r="F38" s="2"/>
      <c r="G38" s="60"/>
      <c r="H38" s="2"/>
      <c r="I38" s="2"/>
      <c r="J38" s="33"/>
    </row>
    <row r="39" spans="2:10" x14ac:dyDescent="0.3">
      <c r="B39" s="2"/>
      <c r="C39" s="4"/>
      <c r="D39" s="2"/>
      <c r="E39" s="2"/>
      <c r="F39" s="2"/>
      <c r="G39" s="53"/>
      <c r="H39" s="2"/>
      <c r="I39" s="2"/>
      <c r="J39" s="33"/>
    </row>
    <row r="40" spans="2:10" ht="26.25" x14ac:dyDescent="0.3">
      <c r="B40" s="9" t="s">
        <v>11</v>
      </c>
      <c r="C40" s="7"/>
      <c r="D40" s="7"/>
      <c r="E40" s="7"/>
      <c r="F40" s="7"/>
      <c r="G40" s="7"/>
      <c r="H40" s="7"/>
      <c r="I40" s="7"/>
      <c r="J40" s="8"/>
    </row>
    <row r="41" spans="2:10" x14ac:dyDescent="0.3">
      <c r="B41" s="6" t="s">
        <v>12</v>
      </c>
      <c r="C41" s="6" t="s">
        <v>3</v>
      </c>
      <c r="D41" s="6" t="s">
        <v>4</v>
      </c>
      <c r="E41" s="6" t="s">
        <v>5</v>
      </c>
      <c r="F41" s="6" t="s">
        <v>13</v>
      </c>
      <c r="G41" s="6" t="s">
        <v>176</v>
      </c>
      <c r="H41" s="6" t="s">
        <v>14</v>
      </c>
      <c r="I41" s="6" t="s">
        <v>8</v>
      </c>
      <c r="J41" s="6" t="s">
        <v>9</v>
      </c>
    </row>
    <row r="42" spans="2:10" x14ac:dyDescent="0.3">
      <c r="B42" s="2">
        <v>1</v>
      </c>
      <c r="C42" s="2" t="s">
        <v>74</v>
      </c>
      <c r="D42" s="2" t="s">
        <v>184</v>
      </c>
      <c r="E42" s="2" t="s">
        <v>76</v>
      </c>
      <c r="F42" s="2" t="s">
        <v>77</v>
      </c>
      <c r="G42" s="12" t="s">
        <v>78</v>
      </c>
      <c r="H42" s="12" t="s">
        <v>190</v>
      </c>
      <c r="I42" s="2" t="s">
        <v>80</v>
      </c>
      <c r="J42" s="2" t="s">
        <v>81</v>
      </c>
    </row>
    <row r="43" spans="2:10" x14ac:dyDescent="0.3">
      <c r="B43" s="2">
        <v>2</v>
      </c>
      <c r="C43" s="2" t="s">
        <v>87</v>
      </c>
      <c r="D43" s="2" t="s">
        <v>182</v>
      </c>
      <c r="E43" s="2" t="s">
        <v>88</v>
      </c>
      <c r="F43" s="2" t="s">
        <v>89</v>
      </c>
      <c r="G43" s="12" t="s">
        <v>78</v>
      </c>
      <c r="H43" s="12" t="s">
        <v>189</v>
      </c>
      <c r="I43" s="2" t="s">
        <v>90</v>
      </c>
      <c r="J43" s="2" t="s">
        <v>91</v>
      </c>
    </row>
    <row r="44" spans="2:10" x14ac:dyDescent="0.3">
      <c r="B44" s="2">
        <v>3</v>
      </c>
      <c r="C44" s="2" t="s">
        <v>261</v>
      </c>
      <c r="D44" s="2" t="s">
        <v>41</v>
      </c>
      <c r="E44" s="2" t="s">
        <v>106</v>
      </c>
      <c r="F44" s="2" t="s">
        <v>27</v>
      </c>
      <c r="G44" s="12" t="s">
        <v>100</v>
      </c>
      <c r="H44" s="12" t="s">
        <v>189</v>
      </c>
      <c r="I44" s="2" t="s">
        <v>107</v>
      </c>
      <c r="J44" s="2" t="s">
        <v>49</v>
      </c>
    </row>
    <row r="45" spans="2:10" x14ac:dyDescent="0.3">
      <c r="B45" s="2">
        <v>4</v>
      </c>
      <c r="C45" s="2" t="s">
        <v>262</v>
      </c>
      <c r="D45" s="2" t="s">
        <v>263</v>
      </c>
      <c r="E45" s="2" t="s">
        <v>264</v>
      </c>
      <c r="F45" s="2" t="s">
        <v>27</v>
      </c>
      <c r="G45" s="12" t="s">
        <v>100</v>
      </c>
      <c r="H45" s="12" t="s">
        <v>189</v>
      </c>
      <c r="I45" s="2" t="s">
        <v>107</v>
      </c>
      <c r="J45" s="2" t="s">
        <v>265</v>
      </c>
    </row>
    <row r="46" spans="2:10" x14ac:dyDescent="0.3">
      <c r="B46" s="2">
        <v>5</v>
      </c>
      <c r="C46" s="2" t="s">
        <v>108</v>
      </c>
      <c r="D46" s="2" t="s">
        <v>182</v>
      </c>
      <c r="E46" s="2" t="s">
        <v>109</v>
      </c>
      <c r="F46" s="2" t="s">
        <v>27</v>
      </c>
      <c r="G46" s="12" t="s">
        <v>100</v>
      </c>
      <c r="H46" s="12" t="s">
        <v>110</v>
      </c>
      <c r="I46" s="2" t="s">
        <v>111</v>
      </c>
      <c r="J46" s="2" t="s">
        <v>112</v>
      </c>
    </row>
    <row r="47" spans="2:10" x14ac:dyDescent="0.3">
      <c r="B47" s="2">
        <v>6</v>
      </c>
      <c r="C47" s="2" t="s">
        <v>113</v>
      </c>
      <c r="D47" s="2" t="s">
        <v>182</v>
      </c>
      <c r="E47" s="2" t="s">
        <v>114</v>
      </c>
      <c r="F47" s="2" t="s">
        <v>99</v>
      </c>
      <c r="G47" s="12" t="s">
        <v>100</v>
      </c>
      <c r="H47" s="12" t="s">
        <v>189</v>
      </c>
      <c r="I47" s="2" t="s">
        <v>115</v>
      </c>
      <c r="J47" s="2" t="s">
        <v>116</v>
      </c>
    </row>
    <row r="48" spans="2:10" x14ac:dyDescent="0.3">
      <c r="B48" s="55">
        <v>7</v>
      </c>
      <c r="C48" s="55" t="s">
        <v>405</v>
      </c>
      <c r="D48" s="55" t="s">
        <v>103</v>
      </c>
      <c r="E48" s="55" t="s">
        <v>406</v>
      </c>
      <c r="F48" s="55" t="s">
        <v>27</v>
      </c>
      <c r="G48" s="12" t="s">
        <v>446</v>
      </c>
      <c r="H48" s="12" t="s">
        <v>447</v>
      </c>
      <c r="I48" s="55" t="s">
        <v>120</v>
      </c>
      <c r="J48" s="55" t="s">
        <v>121</v>
      </c>
    </row>
    <row r="49" spans="2:15" x14ac:dyDescent="0.3">
      <c r="B49" s="2">
        <v>8</v>
      </c>
      <c r="C49" s="2" t="s">
        <v>134</v>
      </c>
      <c r="D49" s="2" t="s">
        <v>103</v>
      </c>
      <c r="E49" s="2" t="s">
        <v>135</v>
      </c>
      <c r="F49" s="2" t="s">
        <v>27</v>
      </c>
      <c r="G49" s="12" t="s">
        <v>79</v>
      </c>
      <c r="H49" s="12" t="s">
        <v>136</v>
      </c>
      <c r="I49" s="2" t="s">
        <v>137</v>
      </c>
      <c r="J49" s="2" t="s">
        <v>138</v>
      </c>
    </row>
    <row r="50" spans="2:15" x14ac:dyDescent="0.3">
      <c r="B50" s="2">
        <v>9</v>
      </c>
      <c r="C50" s="2" t="s">
        <v>63</v>
      </c>
      <c r="D50" s="2" t="s">
        <v>64</v>
      </c>
      <c r="E50" s="2" t="s">
        <v>139</v>
      </c>
      <c r="F50" s="2" t="s">
        <v>27</v>
      </c>
      <c r="G50" s="12" t="s">
        <v>79</v>
      </c>
      <c r="H50" s="12" t="s">
        <v>110</v>
      </c>
      <c r="I50" s="2" t="s">
        <v>140</v>
      </c>
      <c r="J50" s="2" t="s">
        <v>141</v>
      </c>
      <c r="K50" s="16"/>
      <c r="N50" s="16"/>
      <c r="O50" s="16"/>
    </row>
    <row r="51" spans="2:15" x14ac:dyDescent="0.3">
      <c r="B51" s="2">
        <v>10</v>
      </c>
      <c r="C51" s="2" t="s">
        <v>145</v>
      </c>
      <c r="D51" s="2" t="s">
        <v>59</v>
      </c>
      <c r="E51" s="2" t="s">
        <v>146</v>
      </c>
      <c r="F51" s="2" t="s">
        <v>27</v>
      </c>
      <c r="G51" s="12" t="s">
        <v>79</v>
      </c>
      <c r="H51" s="12" t="s">
        <v>136</v>
      </c>
      <c r="I51" s="2" t="s">
        <v>147</v>
      </c>
      <c r="J51" s="2" t="s">
        <v>148</v>
      </c>
      <c r="K51" s="16"/>
      <c r="N51" s="16"/>
      <c r="O51" s="16"/>
    </row>
    <row r="52" spans="2:15" x14ac:dyDescent="0.3">
      <c r="B52" s="2">
        <v>11</v>
      </c>
      <c r="C52" s="2" t="s">
        <v>31</v>
      </c>
      <c r="D52" s="2" t="s">
        <v>64</v>
      </c>
      <c r="E52" s="2" t="s">
        <v>149</v>
      </c>
      <c r="F52" s="2" t="s">
        <v>150</v>
      </c>
      <c r="G52" s="12" t="s">
        <v>79</v>
      </c>
      <c r="H52" s="12" t="s">
        <v>136</v>
      </c>
      <c r="I52" s="2" t="s">
        <v>151</v>
      </c>
      <c r="J52" s="2" t="s">
        <v>152</v>
      </c>
      <c r="K52" s="16"/>
      <c r="N52" s="16"/>
      <c r="O52" s="16"/>
    </row>
    <row r="53" spans="2:15" x14ac:dyDescent="0.3">
      <c r="B53" s="2">
        <v>12</v>
      </c>
      <c r="C53" s="2" t="s">
        <v>40</v>
      </c>
      <c r="D53" s="2" t="s">
        <v>32</v>
      </c>
      <c r="E53" s="2" t="s">
        <v>156</v>
      </c>
      <c r="F53" s="2" t="s">
        <v>27</v>
      </c>
      <c r="G53" s="12" t="s">
        <v>79</v>
      </c>
      <c r="H53" s="12" t="s">
        <v>110</v>
      </c>
      <c r="I53" s="2" t="s">
        <v>157</v>
      </c>
      <c r="J53" s="2" t="s">
        <v>158</v>
      </c>
      <c r="K53" s="16"/>
      <c r="N53" s="16"/>
      <c r="O53" s="16"/>
    </row>
    <row r="54" spans="2:15" x14ac:dyDescent="0.3">
      <c r="B54" s="2">
        <v>13</v>
      </c>
      <c r="C54" s="2" t="s">
        <v>159</v>
      </c>
      <c r="D54" s="2" t="s">
        <v>103</v>
      </c>
      <c r="E54" s="2" t="s">
        <v>160</v>
      </c>
      <c r="F54" s="2" t="s">
        <v>27</v>
      </c>
      <c r="G54" s="12" t="s">
        <v>79</v>
      </c>
      <c r="H54" s="12" t="s">
        <v>110</v>
      </c>
      <c r="I54" s="2" t="s">
        <v>161</v>
      </c>
      <c r="J54" s="2" t="s">
        <v>162</v>
      </c>
      <c r="K54" s="16"/>
      <c r="N54" s="16"/>
      <c r="O54" s="16"/>
    </row>
    <row r="55" spans="2:15" x14ac:dyDescent="0.3">
      <c r="B55" s="2">
        <v>14</v>
      </c>
      <c r="C55" s="2" t="s">
        <v>165</v>
      </c>
      <c r="D55" s="2" t="s">
        <v>64</v>
      </c>
      <c r="E55" s="2" t="s">
        <v>166</v>
      </c>
      <c r="F55" s="2" t="s">
        <v>99</v>
      </c>
      <c r="G55" s="12" t="s">
        <v>79</v>
      </c>
      <c r="H55" s="12" t="s">
        <v>189</v>
      </c>
      <c r="I55" s="2" t="s">
        <v>167</v>
      </c>
      <c r="J55" s="2" t="s">
        <v>223</v>
      </c>
      <c r="K55" s="16"/>
      <c r="N55" s="16"/>
      <c r="O55" s="16"/>
    </row>
    <row r="56" spans="2:15" x14ac:dyDescent="0.3">
      <c r="B56" s="2">
        <v>15</v>
      </c>
      <c r="C56" s="2" t="s">
        <v>173</v>
      </c>
      <c r="D56" s="2" t="s">
        <v>103</v>
      </c>
      <c r="E56" s="2" t="s">
        <v>174</v>
      </c>
      <c r="F56" s="2" t="s">
        <v>27</v>
      </c>
      <c r="G56" s="12" t="s">
        <v>110</v>
      </c>
      <c r="H56" s="12" t="s">
        <v>170</v>
      </c>
      <c r="I56" s="2" t="s">
        <v>80</v>
      </c>
      <c r="J56" s="2" t="s">
        <v>175</v>
      </c>
      <c r="K56" s="16"/>
      <c r="L56" s="16"/>
      <c r="M56" s="16"/>
      <c r="N56" s="16"/>
      <c r="O56" s="16"/>
    </row>
    <row r="57" spans="2:15" x14ac:dyDescent="0.3">
      <c r="B57" s="2">
        <v>16</v>
      </c>
      <c r="C57" s="4" t="s">
        <v>173</v>
      </c>
      <c r="D57" s="2" t="s">
        <v>103</v>
      </c>
      <c r="E57" s="2" t="s">
        <v>174</v>
      </c>
      <c r="F57" s="2" t="s">
        <v>27</v>
      </c>
      <c r="G57" s="12" t="s">
        <v>110</v>
      </c>
      <c r="H57" s="12" t="s">
        <v>170</v>
      </c>
      <c r="I57" s="2" t="s">
        <v>80</v>
      </c>
      <c r="J57" s="2" t="s">
        <v>175</v>
      </c>
      <c r="K57" s="16"/>
      <c r="L57" s="16"/>
      <c r="M57" s="16"/>
      <c r="N57" s="16"/>
      <c r="O57" s="16"/>
    </row>
    <row r="58" spans="2:15" x14ac:dyDescent="0.3">
      <c r="B58" s="2">
        <v>17</v>
      </c>
      <c r="C58" s="4" t="s">
        <v>196</v>
      </c>
      <c r="D58" s="2" t="s">
        <v>59</v>
      </c>
      <c r="E58" s="2" t="s">
        <v>219</v>
      </c>
      <c r="F58" s="2" t="s">
        <v>27</v>
      </c>
      <c r="G58" s="12" t="s">
        <v>110</v>
      </c>
      <c r="H58" s="12" t="s">
        <v>170</v>
      </c>
      <c r="I58" s="2" t="s">
        <v>221</v>
      </c>
      <c r="J58" s="2" t="s">
        <v>220</v>
      </c>
    </row>
    <row r="59" spans="2:15" x14ac:dyDescent="0.3">
      <c r="B59" s="2">
        <v>18</v>
      </c>
      <c r="C59" s="2" t="s">
        <v>302</v>
      </c>
      <c r="D59" s="2" t="s">
        <v>284</v>
      </c>
      <c r="E59" s="2" t="s">
        <v>303</v>
      </c>
      <c r="F59" s="2"/>
      <c r="G59" s="12" t="s">
        <v>110</v>
      </c>
      <c r="H59" s="12" t="s">
        <v>190</v>
      </c>
      <c r="I59" s="2" t="s">
        <v>304</v>
      </c>
      <c r="J59" s="2" t="s">
        <v>305</v>
      </c>
    </row>
    <row r="60" spans="2:15" x14ac:dyDescent="0.3">
      <c r="B60" s="2">
        <v>19</v>
      </c>
      <c r="C60" s="2" t="s">
        <v>311</v>
      </c>
      <c r="D60" s="2" t="s">
        <v>182</v>
      </c>
      <c r="E60" s="2" t="s">
        <v>313</v>
      </c>
      <c r="F60" s="2" t="s">
        <v>188</v>
      </c>
      <c r="G60" s="12" t="s">
        <v>189</v>
      </c>
      <c r="H60" s="12" t="s">
        <v>190</v>
      </c>
      <c r="I60" s="2" t="s">
        <v>315</v>
      </c>
      <c r="J60" s="2" t="s">
        <v>316</v>
      </c>
    </row>
    <row r="61" spans="2:15" x14ac:dyDescent="0.3">
      <c r="B61" s="2"/>
      <c r="C61" s="46" t="s">
        <v>467</v>
      </c>
      <c r="D61" s="47" t="s">
        <v>449</v>
      </c>
      <c r="E61" s="47" t="s">
        <v>468</v>
      </c>
      <c r="F61" s="47" t="s">
        <v>458</v>
      </c>
      <c r="G61" s="48" t="s">
        <v>469</v>
      </c>
      <c r="H61" s="48" t="s">
        <v>470</v>
      </c>
      <c r="I61" s="47" t="s">
        <v>471</v>
      </c>
      <c r="J61" s="47" t="s">
        <v>472</v>
      </c>
    </row>
    <row r="62" spans="2:15" x14ac:dyDescent="0.3">
      <c r="B62" s="2"/>
      <c r="C62" s="47" t="s">
        <v>473</v>
      </c>
      <c r="D62" s="47" t="s">
        <v>474</v>
      </c>
      <c r="E62" s="47" t="s">
        <v>475</v>
      </c>
      <c r="F62" s="47" t="s">
        <v>476</v>
      </c>
      <c r="G62" s="52" t="s">
        <v>469</v>
      </c>
      <c r="H62" s="52" t="s">
        <v>470</v>
      </c>
      <c r="I62" s="63" t="s">
        <v>477</v>
      </c>
      <c r="J62" s="63" t="s">
        <v>478</v>
      </c>
    </row>
    <row r="63" spans="2:15" x14ac:dyDescent="0.3">
      <c r="B63" s="2"/>
      <c r="C63" s="47" t="s">
        <v>479</v>
      </c>
      <c r="D63" s="47" t="s">
        <v>456</v>
      </c>
      <c r="E63" s="47" t="s">
        <v>480</v>
      </c>
      <c r="F63" s="47" t="s">
        <v>476</v>
      </c>
      <c r="G63" s="52" t="s">
        <v>469</v>
      </c>
      <c r="H63" s="52" t="s">
        <v>470</v>
      </c>
      <c r="I63" s="63" t="s">
        <v>481</v>
      </c>
      <c r="J63" s="63" t="s">
        <v>482</v>
      </c>
    </row>
    <row r="64" spans="2:15" x14ac:dyDescent="0.3">
      <c r="B64" s="2"/>
      <c r="C64" s="47" t="s">
        <v>479</v>
      </c>
      <c r="D64" s="47" t="s">
        <v>474</v>
      </c>
      <c r="E64" s="47" t="s">
        <v>483</v>
      </c>
      <c r="F64" s="47" t="s">
        <v>458</v>
      </c>
      <c r="G64" s="52" t="s">
        <v>469</v>
      </c>
      <c r="H64" s="52" t="s">
        <v>484</v>
      </c>
      <c r="I64" s="63" t="s">
        <v>485</v>
      </c>
      <c r="J64" s="63" t="s">
        <v>486</v>
      </c>
    </row>
    <row r="65" spans="2:10" x14ac:dyDescent="0.3">
      <c r="B65" s="2"/>
      <c r="C65" s="47" t="s">
        <v>479</v>
      </c>
      <c r="D65" s="47" t="s">
        <v>449</v>
      </c>
      <c r="E65" s="47" t="s">
        <v>487</v>
      </c>
      <c r="F65" s="47" t="s">
        <v>458</v>
      </c>
      <c r="G65" s="52" t="s">
        <v>469</v>
      </c>
      <c r="H65" s="52" t="s">
        <v>470</v>
      </c>
      <c r="I65" s="63" t="s">
        <v>488</v>
      </c>
      <c r="J65" s="63" t="s">
        <v>489</v>
      </c>
    </row>
    <row r="66" spans="2:10" x14ac:dyDescent="0.3">
      <c r="B66" s="2"/>
      <c r="C66" s="2"/>
      <c r="D66" s="2"/>
      <c r="E66" s="2"/>
      <c r="F66" s="2"/>
      <c r="G66" s="52"/>
      <c r="H66" s="38"/>
      <c r="I66" s="39"/>
      <c r="J66" s="39"/>
    </row>
    <row r="67" spans="2:10" x14ac:dyDescent="0.3">
      <c r="B67" s="2"/>
      <c r="C67" s="2"/>
      <c r="D67" s="2"/>
      <c r="E67" s="2"/>
      <c r="F67" s="2"/>
      <c r="G67" s="38"/>
      <c r="H67" s="38"/>
      <c r="I67" s="39"/>
      <c r="J67" s="39"/>
    </row>
    <row r="68" spans="2:10" x14ac:dyDescent="0.3">
      <c r="B68" s="2"/>
      <c r="C68" s="2"/>
      <c r="D68" s="2"/>
      <c r="E68" s="2"/>
      <c r="F68" s="2"/>
      <c r="G68" s="38"/>
      <c r="H68" s="38"/>
      <c r="I68" s="39"/>
      <c r="J68" s="39"/>
    </row>
    <row r="69" spans="2:10" ht="20.25" x14ac:dyDescent="0.3">
      <c r="B69" s="72" t="s">
        <v>180</v>
      </c>
      <c r="C69" s="73"/>
      <c r="D69" s="73"/>
      <c r="E69" s="73"/>
      <c r="F69" s="73"/>
      <c r="G69" s="73"/>
      <c r="H69" s="73"/>
      <c r="I69" s="73"/>
      <c r="J69" s="74"/>
    </row>
  </sheetData>
  <autoFilter ref="B41:J63">
    <sortState ref="B35:J57">
      <sortCondition ref="C32:C64"/>
    </sortState>
  </autoFilter>
  <mergeCells count="8">
    <mergeCell ref="L6:M6"/>
    <mergeCell ref="B69:J69"/>
    <mergeCell ref="B2:J3"/>
    <mergeCell ref="D4:E4"/>
    <mergeCell ref="F4:H5"/>
    <mergeCell ref="I4:J5"/>
    <mergeCell ref="D5:E5"/>
    <mergeCell ref="B6:J6"/>
  </mergeCells>
  <phoneticPr fontId="1" type="noConversion"/>
  <conditionalFormatting sqref="C39:J39 C47:J47 C50:J50 C53:J53 B52:J52 L9 C55:G55 I55:J55 C60:J60 G59:H62 B54:J54">
    <cfRule type="expression" dxfId="563" priority="175">
      <formula>$C10&lt;&gt;" "</formula>
    </cfRule>
    <cfRule type="expression" dxfId="562" priority="176">
      <formula>$C$7</formula>
    </cfRule>
  </conditionalFormatting>
  <conditionalFormatting sqref="C14:E14 G14:J14 C49:J49 C60:J60 G67:H68">
    <cfRule type="expression" dxfId="561" priority="173">
      <formula>$C17&lt;&gt;" "</formula>
    </cfRule>
    <cfRule type="expression" dxfId="560" priority="174">
      <formula>$C$7</formula>
    </cfRule>
  </conditionalFormatting>
  <conditionalFormatting sqref="C15:J15 F10:F11 C44:J45 B44:B46 B49:B50 C51:J53 G61:H61 G68:H68 B60:J60 G59:H59 B55:B65">
    <cfRule type="expression" dxfId="559" priority="171">
      <formula>$C12&lt;&gt;" "</formula>
    </cfRule>
    <cfRule type="expression" dxfId="558" priority="172">
      <formula>$C$7</formula>
    </cfRule>
  </conditionalFormatting>
  <conditionalFormatting sqref="G67:H67">
    <cfRule type="expression" dxfId="557" priority="169">
      <formula>$C75&lt;&gt;" "</formula>
    </cfRule>
    <cfRule type="expression" dxfId="556" priority="170">
      <formula>$C$7</formula>
    </cfRule>
  </conditionalFormatting>
  <conditionalFormatting sqref="F11:I11 I12:I13 C10:J10 C11:D11 B10:B33">
    <cfRule type="expression" dxfId="555" priority="165">
      <formula>$C39&lt;&gt;" "</formula>
    </cfRule>
    <cfRule type="expression" dxfId="554" priority="166">
      <formula>$C$7</formula>
    </cfRule>
  </conditionalFormatting>
  <conditionalFormatting sqref="C54:J55 C46:J46 C11:H11 J11 G10 C17:J25 C8:J8 C28:J31 C33:J38 J32 B51:J51 B43:B66 B48:J48 C43:J43 B41:J42 J26:J27 E26:G27 C32:G32 B8:B39">
    <cfRule type="expression" dxfId="553" priority="163">
      <formula>#REF!&lt;&gt;" "</formula>
    </cfRule>
    <cfRule type="expression" dxfId="552" priority="164">
      <formula>$C$7</formula>
    </cfRule>
  </conditionalFormatting>
  <conditionalFormatting sqref="C8:J9 L9 G68:H68 B60:B66 G60:H65">
    <cfRule type="expression" dxfId="551" priority="161">
      <formula>$C15&lt;&gt;" "</formula>
    </cfRule>
    <cfRule type="expression" dxfId="550" priority="162">
      <formula>$C$7</formula>
    </cfRule>
  </conditionalFormatting>
  <conditionalFormatting sqref="G66:H67 C56:J58 G64:H64 G65">
    <cfRule type="expression" dxfId="549" priority="157">
      <formula>$C60&lt;&gt;" "</formula>
    </cfRule>
    <cfRule type="expression" dxfId="548" priority="158">
      <formula>$C$7</formula>
    </cfRule>
  </conditionalFormatting>
  <conditionalFormatting sqref="C56:J56 G63:H66">
    <cfRule type="expression" dxfId="547" priority="155">
      <formula>$C61&lt;&gt;" "</formula>
    </cfRule>
    <cfRule type="expression" dxfId="546" priority="156">
      <formula>$C$7</formula>
    </cfRule>
  </conditionalFormatting>
  <conditionalFormatting sqref="C56:J56 G61:H66">
    <cfRule type="expression" dxfId="545" priority="153">
      <formula>$C62&lt;&gt;" "</formula>
    </cfRule>
    <cfRule type="expression" dxfId="544" priority="154">
      <formula>$C$7</formula>
    </cfRule>
  </conditionalFormatting>
  <conditionalFormatting sqref="B26 B38 B30:B35">
    <cfRule type="expression" dxfId="543" priority="151">
      <formula>$C52&lt;&gt;" "</formula>
    </cfRule>
    <cfRule type="expression" dxfId="542" priority="152">
      <formula>$C$7</formula>
    </cfRule>
  </conditionalFormatting>
  <conditionalFormatting sqref="C16:K16">
    <cfRule type="expression" dxfId="541" priority="149">
      <formula>$B40&lt;&gt;" "</formula>
    </cfRule>
    <cfRule type="expression" dxfId="540" priority="150">
      <formula>$C$7</formula>
    </cfRule>
  </conditionalFormatting>
  <conditionalFormatting sqref="B8:B33">
    <cfRule type="expression" dxfId="539" priority="147">
      <formula>$C42&lt;&gt;" "</formula>
    </cfRule>
    <cfRule type="expression" dxfId="538" priority="148">
      <formula>$C$7</formula>
    </cfRule>
  </conditionalFormatting>
  <conditionalFormatting sqref="C9:J9">
    <cfRule type="expression" dxfId="537" priority="145">
      <formula>$B11&lt;&gt;" "</formula>
    </cfRule>
    <cfRule type="expression" dxfId="536" priority="146">
      <formula>$C$7</formula>
    </cfRule>
  </conditionalFormatting>
  <conditionalFormatting sqref="B29 B22:B27">
    <cfRule type="expression" dxfId="535" priority="143">
      <formula>$C55&lt;&gt;" "</formula>
    </cfRule>
    <cfRule type="expression" dxfId="534" priority="144">
      <formula>$C$7</formula>
    </cfRule>
  </conditionalFormatting>
  <conditionalFormatting sqref="G66:H66 G64:H64 G65">
    <cfRule type="expression" dxfId="533" priority="137">
      <formula>$C73&lt;&gt;" "</formula>
    </cfRule>
    <cfRule type="expression" dxfId="532" priority="138">
      <formula>$C$7</formula>
    </cfRule>
  </conditionalFormatting>
  <conditionalFormatting sqref="B7:J7 C58:J60 G63:H66">
    <cfRule type="expression" dxfId="531" priority="135">
      <formula>$C17&lt;&gt;" "</formula>
    </cfRule>
    <cfRule type="expression" dxfId="530" priority="136">
      <formula>$C$7</formula>
    </cfRule>
  </conditionalFormatting>
  <conditionalFormatting sqref="G16 C16:D16 B29">
    <cfRule type="expression" dxfId="529" priority="133">
      <formula>$C39&lt;&gt;" "</formula>
    </cfRule>
    <cfRule type="expression" dxfId="528" priority="134">
      <formula>$C$7</formula>
    </cfRule>
  </conditionalFormatting>
  <conditionalFormatting sqref="B8 B10 B12 B14 B16">
    <cfRule type="expression" dxfId="527" priority="115">
      <formula>$C22&lt;&gt;" "</formula>
    </cfRule>
    <cfRule type="expression" dxfId="526" priority="116">
      <formula>$C$7</formula>
    </cfRule>
  </conditionalFormatting>
  <conditionalFormatting sqref="B18 B34:B35 B20 B22 B24 B26 B28 B30 B32">
    <cfRule type="expression" dxfId="525" priority="113">
      <formula>$C39&lt;&gt;" "</formula>
    </cfRule>
    <cfRule type="expression" dxfId="524" priority="114">
      <formula>$C$7</formula>
    </cfRule>
  </conditionalFormatting>
  <conditionalFormatting sqref="B9 B36:B37 B30:B32">
    <cfRule type="expression" dxfId="523" priority="109">
      <formula>$C31&lt;&gt;" "</formula>
    </cfRule>
    <cfRule type="expression" dxfId="522" priority="110">
      <formula>$C$7</formula>
    </cfRule>
  </conditionalFormatting>
  <conditionalFormatting sqref="B27">
    <cfRule type="expression" dxfId="521" priority="107">
      <formula>$C62&lt;&gt;" "</formula>
    </cfRule>
    <cfRule type="expression" dxfId="520" priority="108">
      <formula>$C$7</formula>
    </cfRule>
  </conditionalFormatting>
  <conditionalFormatting sqref="B28">
    <cfRule type="expression" dxfId="519" priority="105">
      <formula>$C52&lt;&gt;" "</formula>
    </cfRule>
    <cfRule type="expression" dxfId="518" priority="106">
      <formula>$C$7</formula>
    </cfRule>
  </conditionalFormatting>
  <conditionalFormatting sqref="G59:H65">
    <cfRule type="expression" dxfId="517" priority="101">
      <formula>$C70&lt;&gt;" "</formula>
    </cfRule>
    <cfRule type="expression" dxfId="516" priority="102">
      <formula>$C$7</formula>
    </cfRule>
  </conditionalFormatting>
  <conditionalFormatting sqref="B26">
    <cfRule type="expression" dxfId="515" priority="99">
      <formula>$C62&lt;&gt;" "</formula>
    </cfRule>
    <cfRule type="expression" dxfId="514" priority="100">
      <formula>$C$7</formula>
    </cfRule>
  </conditionalFormatting>
  <conditionalFormatting sqref="B26">
    <cfRule type="expression" dxfId="513" priority="95">
      <formula>$C56&lt;&gt;" "</formula>
    </cfRule>
    <cfRule type="expression" dxfId="512" priority="96">
      <formula>$C$7</formula>
    </cfRule>
  </conditionalFormatting>
  <conditionalFormatting sqref="H27:I28 C56:J59">
    <cfRule type="expression" dxfId="511" priority="93">
      <formula>$C39&lt;&gt;" "</formula>
    </cfRule>
    <cfRule type="expression" dxfId="510" priority="94">
      <formula>$C$7</formula>
    </cfRule>
  </conditionalFormatting>
  <conditionalFormatting sqref="B18:B33">
    <cfRule type="expression" dxfId="509" priority="91">
      <formula>$C55&lt;&gt;" "</formula>
    </cfRule>
    <cfRule type="expression" dxfId="508" priority="92">
      <formula>$C$7</formula>
    </cfRule>
  </conditionalFormatting>
  <conditionalFormatting sqref="B17:B18 B20 B22 B24:B30 B32">
    <cfRule type="expression" dxfId="507" priority="89">
      <formula>$C44&lt;&gt;" "</formula>
    </cfRule>
    <cfRule type="expression" dxfId="506" priority="90">
      <formula>$C$7</formula>
    </cfRule>
  </conditionalFormatting>
  <conditionalFormatting sqref="B16:B33">
    <cfRule type="expression" dxfId="505" priority="83">
      <formula>$C55&lt;&gt;" "</formula>
    </cfRule>
    <cfRule type="expression" dxfId="504" priority="84">
      <formula>$C$7</formula>
    </cfRule>
  </conditionalFormatting>
  <conditionalFormatting sqref="D27">
    <cfRule type="expression" dxfId="503" priority="65">
      <formula>$C39&lt;&gt;" "</formula>
    </cfRule>
    <cfRule type="expression" dxfId="502" priority="66">
      <formula>$C$7</formula>
    </cfRule>
  </conditionalFormatting>
  <conditionalFormatting sqref="D27 H27:I28">
    <cfRule type="expression" dxfId="501" priority="63">
      <formula>$C40&lt;&gt;" "</formula>
    </cfRule>
    <cfRule type="expression" dxfId="500" priority="64">
      <formula>$C$7</formula>
    </cfRule>
  </conditionalFormatting>
  <conditionalFormatting sqref="C27">
    <cfRule type="expression" dxfId="499" priority="61">
      <formula>$C39&lt;&gt;" "</formula>
    </cfRule>
    <cfRule type="expression" dxfId="498" priority="62">
      <formula>$C$7</formula>
    </cfRule>
  </conditionalFormatting>
  <conditionalFormatting sqref="C27">
    <cfRule type="expression" dxfId="497" priority="59">
      <formula>$C40&lt;&gt;" "</formula>
    </cfRule>
    <cfRule type="expression" dxfId="496" priority="60">
      <formula>$C$7</formula>
    </cfRule>
  </conditionalFormatting>
  <conditionalFormatting sqref="H26:I26">
    <cfRule type="expression" dxfId="495" priority="45">
      <formula>$C31&lt;&gt;" "</formula>
    </cfRule>
    <cfRule type="expression" dxfId="494" priority="46">
      <formula>$C$7</formula>
    </cfRule>
  </conditionalFormatting>
  <conditionalFormatting sqref="H26:I26">
    <cfRule type="expression" dxfId="493" priority="43">
      <formula>$C39&lt;&gt;" "</formula>
    </cfRule>
    <cfRule type="expression" dxfId="492" priority="44">
      <formula>$C$7</formula>
    </cfRule>
  </conditionalFormatting>
  <conditionalFormatting sqref="D26">
    <cfRule type="expression" dxfId="491" priority="41">
      <formula>$C31&lt;&gt;" "</formula>
    </cfRule>
    <cfRule type="expression" dxfId="490" priority="42">
      <formula>$C$7</formula>
    </cfRule>
  </conditionalFormatting>
  <conditionalFormatting sqref="D26">
    <cfRule type="expression" dxfId="489" priority="39">
      <formula>$C39&lt;&gt;" "</formula>
    </cfRule>
    <cfRule type="expression" dxfId="488" priority="40">
      <formula>$C$7</formula>
    </cfRule>
  </conditionalFormatting>
  <conditionalFormatting sqref="C26">
    <cfRule type="expression" dxfId="487" priority="37">
      <formula>$C31&lt;&gt;" "</formula>
    </cfRule>
    <cfRule type="expression" dxfId="486" priority="38">
      <formula>$C$7</formula>
    </cfRule>
  </conditionalFormatting>
  <conditionalFormatting sqref="C26">
    <cfRule type="expression" dxfId="485" priority="35">
      <formula>$C39&lt;&gt;" "</formula>
    </cfRule>
    <cfRule type="expression" dxfId="484" priority="36">
      <formula>$C$7</formula>
    </cfRule>
  </conditionalFormatting>
  <conditionalFormatting sqref="B38">
    <cfRule type="expression" dxfId="483" priority="981">
      <formula>$C54&lt;&gt;" "</formula>
    </cfRule>
    <cfRule type="expression" dxfId="482" priority="982">
      <formula>$C$7</formula>
    </cfRule>
  </conditionalFormatting>
  <conditionalFormatting sqref="B24 C12:H13 J12:J13 B27:B28 B36:B37">
    <cfRule type="expression" dxfId="481" priority="1061">
      <formula>$C40&lt;&gt;" "</formula>
    </cfRule>
    <cfRule type="expression" dxfId="480" priority="1062">
      <formula>$C$7</formula>
    </cfRule>
  </conditionalFormatting>
  <conditionalFormatting sqref="B36">
    <cfRule type="expression" dxfId="479" priority="1081">
      <formula>$C54&lt;&gt;" "</formula>
    </cfRule>
    <cfRule type="expression" dxfId="478" priority="1082">
      <formula>$C$7</formula>
    </cfRule>
  </conditionalFormatting>
  <conditionalFormatting sqref="B27">
    <cfRule type="expression" dxfId="477" priority="1155">
      <formula>$C52&lt;&gt;" "</formula>
    </cfRule>
    <cfRule type="expression" dxfId="476" priority="1156">
      <formula>$C$7</formula>
    </cfRule>
  </conditionalFormatting>
  <conditionalFormatting sqref="B25:B27">
    <cfRule type="expression" dxfId="475" priority="1159">
      <formula>$C56&lt;&gt;" "</formula>
    </cfRule>
    <cfRule type="expression" dxfId="474" priority="1160">
      <formula>$C$7</formula>
    </cfRule>
  </conditionalFormatting>
  <conditionalFormatting sqref="B24 B8:B16">
    <cfRule type="expression" dxfId="473" priority="1161">
      <formula>$C46&lt;&gt;" "</formula>
    </cfRule>
    <cfRule type="expression" dxfId="472" priority="1162">
      <formula>$C$7</formula>
    </cfRule>
  </conditionalFormatting>
  <conditionalFormatting sqref="B12:B16 B24 B30:B35">
    <cfRule type="expression" dxfId="471" priority="1181">
      <formula>$C44&lt;&gt;" "</formula>
    </cfRule>
    <cfRule type="expression" dxfId="470" priority="1182">
      <formula>$C$7</formula>
    </cfRule>
  </conditionalFormatting>
  <conditionalFormatting sqref="B8:B14">
    <cfRule type="expression" dxfId="469" priority="1185">
      <formula>$C48&lt;&gt;" "</formula>
    </cfRule>
    <cfRule type="expression" dxfId="468" priority="1186">
      <formula>$C$7</formula>
    </cfRule>
  </conditionalFormatting>
  <conditionalFormatting sqref="H32:I32">
    <cfRule type="expression" dxfId="467" priority="7">
      <formula>$C37&lt;&gt;" "</formula>
    </cfRule>
    <cfRule type="expression" dxfId="466" priority="8">
      <formula>$C$7</formula>
    </cfRule>
  </conditionalFormatting>
  <conditionalFormatting sqref="H32:I32">
    <cfRule type="expression" dxfId="465" priority="5">
      <formula>$C45&lt;&gt;" "</formula>
    </cfRule>
    <cfRule type="expression" dxfId="464" priority="6">
      <formula>$C$7</formula>
    </cfRule>
  </conditionalFormatting>
  <conditionalFormatting sqref="G48">
    <cfRule type="expression" dxfId="463" priority="3">
      <formula>$C51&lt;&gt;" "</formula>
    </cfRule>
    <cfRule type="expression" dxfId="462" priority="4">
      <formula>$C$7</formula>
    </cfRule>
  </conditionalFormatting>
  <conditionalFormatting sqref="H48">
    <cfRule type="expression" dxfId="461" priority="1">
      <formula>$C51&lt;&gt;" "</formula>
    </cfRule>
    <cfRule type="expression" dxfId="460" priority="2">
      <formula>$C$7</formula>
    </cfRule>
  </conditionalFormatting>
  <conditionalFormatting sqref="B53">
    <cfRule type="expression" dxfId="459" priority="1211">
      <formula>#REF!&lt;&gt;" "</formula>
    </cfRule>
    <cfRule type="expression" dxfId="458" priority="1212">
      <formula>$C$7</formula>
    </cfRule>
  </conditionalFormatting>
  <conditionalFormatting sqref="B26">
    <cfRule type="expression" dxfId="457" priority="1223">
      <formula>#REF!&lt;&gt;" "</formula>
    </cfRule>
    <cfRule type="expression" dxfId="456" priority="1224">
      <formula>$C$7</formula>
    </cfRule>
  </conditionalFormatting>
  <conditionalFormatting sqref="B21">
    <cfRule type="expression" dxfId="455" priority="1295">
      <formula>#REF!&lt;&gt;" "</formula>
    </cfRule>
    <cfRule type="expression" dxfId="454" priority="1296">
      <formula>$C$7</formula>
    </cfRule>
  </conditionalFormatting>
  <conditionalFormatting sqref="B33">
    <cfRule type="expression" dxfId="453" priority="1315">
      <formula>#REF!&lt;&gt;" "</formula>
    </cfRule>
    <cfRule type="expression" dxfId="452" priority="1316">
      <formula>$C$7</formula>
    </cfRule>
  </conditionalFormatting>
  <conditionalFormatting sqref="B38">
    <cfRule type="expression" dxfId="451" priority="1325">
      <formula>$C58&lt;&gt;" "</formula>
    </cfRule>
    <cfRule type="expression" dxfId="450" priority="1326">
      <formula>$C$7</formula>
    </cfRule>
  </conditionalFormatting>
  <conditionalFormatting sqref="B37">
    <cfRule type="expression" dxfId="449" priority="1369">
      <formula>#REF!&lt;&gt;" "</formula>
    </cfRule>
    <cfRule type="expression" dxfId="448" priority="1370">
      <formula>$C$7</formula>
    </cfRule>
  </conditionalFormatting>
  <conditionalFormatting sqref="B17">
    <cfRule type="expression" dxfId="447" priority="1377">
      <formula>#REF!&lt;&gt;" "</formula>
    </cfRule>
    <cfRule type="expression" dxfId="446" priority="1378">
      <formula>$C$7</formula>
    </cfRule>
  </conditionalFormatting>
  <conditionalFormatting sqref="B15">
    <cfRule type="expression" dxfId="445" priority="1387">
      <formula>#REF!&lt;&gt;" "</formula>
    </cfRule>
    <cfRule type="expression" dxfId="444" priority="1388">
      <formula>$C$7</formula>
    </cfRule>
  </conditionalFormatting>
  <pageMargins left="0.7" right="0.7" top="0.75" bottom="0.75" header="0.3" footer="0.3"/>
  <pageSetup paperSize="9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9"/>
  <sheetViews>
    <sheetView zoomScale="85" zoomScaleNormal="85" workbookViewId="0">
      <selection activeCell="C10" sqref="C10:D10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  <col min="11" max="11" width="18.75" customWidth="1"/>
    <col min="13" max="13" width="13.875" bestFit="1" customWidth="1"/>
  </cols>
  <sheetData>
    <row r="2" spans="2:14" x14ac:dyDescent="0.3">
      <c r="B2" s="75" t="s">
        <v>349</v>
      </c>
      <c r="C2" s="76"/>
      <c r="D2" s="76"/>
      <c r="E2" s="76"/>
      <c r="F2" s="76"/>
      <c r="G2" s="76"/>
      <c r="H2" s="76"/>
      <c r="I2" s="76"/>
      <c r="J2" s="77"/>
    </row>
    <row r="3" spans="2:14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4" ht="26.25" x14ac:dyDescent="0.3">
      <c r="B4" s="10" t="s">
        <v>0</v>
      </c>
      <c r="C4" s="11"/>
      <c r="D4" s="81">
        <f>COUNT(B8:B38)</f>
        <v>18</v>
      </c>
      <c r="E4" s="82"/>
      <c r="F4" s="83" t="s">
        <v>181</v>
      </c>
      <c r="G4" s="84"/>
      <c r="H4" s="84"/>
      <c r="I4" s="87" t="s">
        <v>179</v>
      </c>
      <c r="J4" s="88"/>
    </row>
    <row r="5" spans="2:14" ht="26.25" x14ac:dyDescent="0.3">
      <c r="B5" s="10" t="s">
        <v>1</v>
      </c>
      <c r="C5" s="11"/>
      <c r="D5" s="81">
        <f>COUNT(B41:B63)</f>
        <v>22</v>
      </c>
      <c r="E5" s="82"/>
      <c r="F5" s="85"/>
      <c r="G5" s="86"/>
      <c r="H5" s="86"/>
      <c r="I5" s="89"/>
      <c r="J5" s="90"/>
    </row>
    <row r="6" spans="2:14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  <c r="M6" s="71" t="s">
        <v>235</v>
      </c>
      <c r="N6" s="71"/>
    </row>
    <row r="7" spans="2:14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M7" s="2" t="s">
        <v>227</v>
      </c>
      <c r="N7" s="15">
        <f>COUNTIF(F8:F38,"*계약만료*")</f>
        <v>8</v>
      </c>
    </row>
    <row r="8" spans="2:14" x14ac:dyDescent="0.3">
      <c r="B8" s="22"/>
      <c r="C8" s="23" t="s">
        <v>40</v>
      </c>
      <c r="D8" s="24" t="s">
        <v>64</v>
      </c>
      <c r="E8" s="24" t="s">
        <v>71</v>
      </c>
      <c r="F8" s="24" t="s">
        <v>27</v>
      </c>
      <c r="G8" s="25" t="s">
        <v>52</v>
      </c>
      <c r="H8" s="24" t="s">
        <v>72</v>
      </c>
      <c r="I8" s="24" t="s">
        <v>73</v>
      </c>
      <c r="J8" s="35">
        <v>2500000</v>
      </c>
      <c r="M8" s="2" t="s">
        <v>228</v>
      </c>
      <c r="N8" s="15">
        <f>COUNTIF(F8:F38,"*비용절감*")</f>
        <v>5</v>
      </c>
    </row>
    <row r="9" spans="2:14" x14ac:dyDescent="0.3">
      <c r="B9" s="24"/>
      <c r="C9" s="36" t="s">
        <v>198</v>
      </c>
      <c r="D9" s="24" t="s">
        <v>32</v>
      </c>
      <c r="E9" s="24" t="s">
        <v>199</v>
      </c>
      <c r="F9" s="24" t="s">
        <v>27</v>
      </c>
      <c r="G9" s="25" t="s">
        <v>52</v>
      </c>
      <c r="H9" s="24" t="s">
        <v>215</v>
      </c>
      <c r="I9" s="24" t="s">
        <v>210</v>
      </c>
      <c r="J9" s="35"/>
      <c r="M9" s="4" t="s">
        <v>225</v>
      </c>
      <c r="N9" s="15">
        <f>COUNTIF(F8:F38,"*사용자퇴사*")</f>
        <v>10</v>
      </c>
    </row>
    <row r="10" spans="2:14" x14ac:dyDescent="0.3">
      <c r="B10" s="24"/>
      <c r="C10" s="36" t="s">
        <v>196</v>
      </c>
      <c r="D10" s="24" t="s">
        <v>41</v>
      </c>
      <c r="E10" s="24" t="s">
        <v>200</v>
      </c>
      <c r="F10" s="24" t="s">
        <v>201</v>
      </c>
      <c r="G10" s="25" t="s">
        <v>52</v>
      </c>
      <c r="H10" s="24" t="s">
        <v>216</v>
      </c>
      <c r="I10" s="24" t="s">
        <v>211</v>
      </c>
      <c r="J10" s="35"/>
      <c r="M10" s="2" t="s">
        <v>230</v>
      </c>
      <c r="N10" s="15">
        <f>COUNTIF(F8:F38,"*조직개편*")</f>
        <v>0</v>
      </c>
    </row>
    <row r="11" spans="2:14" x14ac:dyDescent="0.3">
      <c r="B11" s="24"/>
      <c r="C11" s="36" t="s">
        <v>202</v>
      </c>
      <c r="D11" s="24" t="s">
        <v>41</v>
      </c>
      <c r="E11" s="24" t="s">
        <v>203</v>
      </c>
      <c r="F11" s="24" t="s">
        <v>201</v>
      </c>
      <c r="G11" s="25" t="s">
        <v>52</v>
      </c>
      <c r="H11" s="24" t="s">
        <v>53</v>
      </c>
      <c r="I11" s="24" t="s">
        <v>212</v>
      </c>
      <c r="J11" s="35"/>
      <c r="M11" s="2" t="s">
        <v>231</v>
      </c>
      <c r="N11" s="15">
        <f>COUNTIF(F8:F38,"*휴직/장기출장*")</f>
        <v>1</v>
      </c>
    </row>
    <row r="12" spans="2:14" x14ac:dyDescent="0.3">
      <c r="B12" s="24"/>
      <c r="C12" s="36" t="s">
        <v>204</v>
      </c>
      <c r="D12" s="24" t="s">
        <v>103</v>
      </c>
      <c r="E12" s="24" t="s">
        <v>205</v>
      </c>
      <c r="F12" s="24" t="s">
        <v>27</v>
      </c>
      <c r="G12" s="25" t="s">
        <v>52</v>
      </c>
      <c r="H12" s="24" t="s">
        <v>217</v>
      </c>
      <c r="I12" s="24" t="s">
        <v>213</v>
      </c>
      <c r="J12" s="35"/>
      <c r="M12" s="2" t="s">
        <v>229</v>
      </c>
      <c r="N12" s="15">
        <f>COUNTIF(F8:F39,"*합병매각*")</f>
        <v>0</v>
      </c>
    </row>
    <row r="13" spans="2:14" x14ac:dyDescent="0.3">
      <c r="B13" s="24"/>
      <c r="C13" s="36" t="s">
        <v>206</v>
      </c>
      <c r="D13" s="24" t="s">
        <v>64</v>
      </c>
      <c r="E13" s="24" t="s">
        <v>143</v>
      </c>
      <c r="F13" s="24" t="s">
        <v>27</v>
      </c>
      <c r="G13" s="25" t="s">
        <v>52</v>
      </c>
      <c r="H13" s="24" t="s">
        <v>85</v>
      </c>
      <c r="I13" s="24" t="s">
        <v>144</v>
      </c>
      <c r="J13" s="35"/>
      <c r="M13" s="2" t="s">
        <v>226</v>
      </c>
      <c r="N13" s="15">
        <f>COUNTIF(F8:F38,"*활용저조*")</f>
        <v>0</v>
      </c>
    </row>
    <row r="14" spans="2:14" x14ac:dyDescent="0.3">
      <c r="B14" s="2">
        <v>1</v>
      </c>
      <c r="C14" s="4" t="s">
        <v>207</v>
      </c>
      <c r="D14" s="2" t="s">
        <v>64</v>
      </c>
      <c r="E14" s="2" t="s">
        <v>208</v>
      </c>
      <c r="F14" s="2" t="s">
        <v>66</v>
      </c>
      <c r="G14" s="44" t="s">
        <v>209</v>
      </c>
      <c r="H14" s="2" t="s">
        <v>218</v>
      </c>
      <c r="I14" s="2" t="s">
        <v>214</v>
      </c>
      <c r="J14" s="33"/>
      <c r="M14" s="2" t="s">
        <v>232</v>
      </c>
      <c r="N14" s="15">
        <f>COUNTIF(F8:F41,"*타사대체*")</f>
        <v>0</v>
      </c>
    </row>
    <row r="15" spans="2:14" x14ac:dyDescent="0.3">
      <c r="B15" s="2">
        <v>2</v>
      </c>
      <c r="C15" s="2" t="s">
        <v>207</v>
      </c>
      <c r="D15" s="2" t="s">
        <v>64</v>
      </c>
      <c r="E15" s="2" t="s">
        <v>197</v>
      </c>
      <c r="F15" s="2" t="s">
        <v>66</v>
      </c>
      <c r="G15" s="44" t="s">
        <v>209</v>
      </c>
      <c r="H15" s="2" t="s">
        <v>218</v>
      </c>
      <c r="I15" s="2" t="s">
        <v>214</v>
      </c>
      <c r="J15" s="33"/>
      <c r="M15" s="2" t="s">
        <v>233</v>
      </c>
      <c r="N15" s="15">
        <f>COUNTIF(F8:F42,"*비용미납*")</f>
        <v>0</v>
      </c>
    </row>
    <row r="16" spans="2:14" x14ac:dyDescent="0.3">
      <c r="B16" s="2">
        <v>3</v>
      </c>
      <c r="C16" s="4" t="s">
        <v>245</v>
      </c>
      <c r="D16" s="2" t="s">
        <v>184</v>
      </c>
      <c r="E16" s="2" t="s">
        <v>242</v>
      </c>
      <c r="F16" s="2" t="s">
        <v>66</v>
      </c>
      <c r="G16" s="44" t="s">
        <v>52</v>
      </c>
      <c r="H16" s="2" t="s">
        <v>246</v>
      </c>
      <c r="I16" s="2" t="s">
        <v>243</v>
      </c>
      <c r="J16" s="33"/>
      <c r="M16" s="2" t="s">
        <v>234</v>
      </c>
      <c r="N16" s="15">
        <f>SUM(N7:N15)</f>
        <v>24</v>
      </c>
    </row>
    <row r="17" spans="2:10" x14ac:dyDescent="0.3">
      <c r="B17" s="2">
        <v>4</v>
      </c>
      <c r="C17" s="4" t="s">
        <v>245</v>
      </c>
      <c r="D17" s="2" t="s">
        <v>184</v>
      </c>
      <c r="E17" s="2" t="s">
        <v>244</v>
      </c>
      <c r="F17" s="2" t="s">
        <v>247</v>
      </c>
      <c r="G17" s="44" t="s">
        <v>52</v>
      </c>
      <c r="H17" s="2" t="s">
        <v>246</v>
      </c>
      <c r="I17" s="2" t="s">
        <v>243</v>
      </c>
      <c r="J17" s="33"/>
    </row>
    <row r="18" spans="2:10" x14ac:dyDescent="0.3">
      <c r="B18" s="2">
        <v>5</v>
      </c>
      <c r="C18" s="4" t="s">
        <v>249</v>
      </c>
      <c r="D18" s="2" t="s">
        <v>250</v>
      </c>
      <c r="E18" s="2" t="s">
        <v>251</v>
      </c>
      <c r="F18" s="2" t="s">
        <v>252</v>
      </c>
      <c r="G18" s="44" t="s">
        <v>253</v>
      </c>
      <c r="H18" s="2" t="s">
        <v>254</v>
      </c>
      <c r="I18" s="20" t="s">
        <v>255</v>
      </c>
      <c r="J18" s="33"/>
    </row>
    <row r="19" spans="2:10" x14ac:dyDescent="0.3">
      <c r="B19" s="2">
        <v>6</v>
      </c>
      <c r="C19" s="4" t="s">
        <v>249</v>
      </c>
      <c r="D19" s="2" t="s">
        <v>250</v>
      </c>
      <c r="E19" s="2" t="s">
        <v>256</v>
      </c>
      <c r="F19" s="2" t="s">
        <v>252</v>
      </c>
      <c r="G19" s="44" t="s">
        <v>253</v>
      </c>
      <c r="H19" s="2" t="s">
        <v>254</v>
      </c>
      <c r="I19" s="20" t="s">
        <v>255</v>
      </c>
      <c r="J19" s="33"/>
    </row>
    <row r="20" spans="2:10" x14ac:dyDescent="0.3">
      <c r="B20" s="2">
        <v>7</v>
      </c>
      <c r="C20" s="4" t="s">
        <v>271</v>
      </c>
      <c r="D20" s="2" t="s">
        <v>272</v>
      </c>
      <c r="E20" s="2" t="s">
        <v>273</v>
      </c>
      <c r="F20" s="2" t="s">
        <v>231</v>
      </c>
      <c r="G20" s="44" t="s">
        <v>274</v>
      </c>
      <c r="H20" s="2" t="s">
        <v>275</v>
      </c>
      <c r="I20" s="2" t="s">
        <v>276</v>
      </c>
      <c r="J20" s="33"/>
    </row>
    <row r="21" spans="2:10" x14ac:dyDescent="0.3">
      <c r="B21" s="2">
        <v>8</v>
      </c>
      <c r="C21" s="4" t="s">
        <v>271</v>
      </c>
      <c r="D21" s="2" t="s">
        <v>278</v>
      </c>
      <c r="E21" s="2" t="s">
        <v>279</v>
      </c>
      <c r="F21" s="2" t="s">
        <v>280</v>
      </c>
      <c r="G21" s="44" t="s">
        <v>281</v>
      </c>
      <c r="H21" s="2" t="s">
        <v>282</v>
      </c>
      <c r="I21" s="2" t="s">
        <v>283</v>
      </c>
      <c r="J21" s="33"/>
    </row>
    <row r="22" spans="2:10" x14ac:dyDescent="0.3">
      <c r="B22" s="2">
        <v>9</v>
      </c>
      <c r="C22" s="4" t="s">
        <v>271</v>
      </c>
      <c r="D22" s="2" t="s">
        <v>284</v>
      </c>
      <c r="E22" s="2" t="s">
        <v>285</v>
      </c>
      <c r="F22" s="2" t="s">
        <v>286</v>
      </c>
      <c r="G22" s="44" t="s">
        <v>281</v>
      </c>
      <c r="H22" s="2" t="s">
        <v>287</v>
      </c>
      <c r="I22" s="2" t="s">
        <v>288</v>
      </c>
      <c r="J22" s="33"/>
    </row>
    <row r="23" spans="2:10" x14ac:dyDescent="0.3">
      <c r="B23" s="2">
        <v>10</v>
      </c>
      <c r="C23" s="4" t="s">
        <v>271</v>
      </c>
      <c r="D23" s="2" t="s">
        <v>290</v>
      </c>
      <c r="E23" s="2" t="s">
        <v>291</v>
      </c>
      <c r="F23" s="2" t="s">
        <v>292</v>
      </c>
      <c r="G23" s="44" t="s">
        <v>274</v>
      </c>
      <c r="H23" s="2" t="s">
        <v>294</v>
      </c>
      <c r="I23" s="2" t="s">
        <v>295</v>
      </c>
      <c r="J23" s="33">
        <v>750000</v>
      </c>
    </row>
    <row r="24" spans="2:10" x14ac:dyDescent="0.3">
      <c r="B24" s="2">
        <v>11</v>
      </c>
      <c r="C24" s="4" t="s">
        <v>271</v>
      </c>
      <c r="D24" s="2" t="s">
        <v>297</v>
      </c>
      <c r="E24" s="2" t="s">
        <v>298</v>
      </c>
      <c r="F24" s="2" t="s">
        <v>188</v>
      </c>
      <c r="G24" s="44" t="s">
        <v>274</v>
      </c>
      <c r="H24" s="2" t="s">
        <v>300</v>
      </c>
      <c r="I24" s="2" t="s">
        <v>301</v>
      </c>
      <c r="J24" s="33">
        <v>500000</v>
      </c>
    </row>
    <row r="25" spans="2:10" x14ac:dyDescent="0.3">
      <c r="B25" s="2">
        <v>12</v>
      </c>
      <c r="C25" s="4" t="s">
        <v>324</v>
      </c>
      <c r="D25" s="2" t="s">
        <v>297</v>
      </c>
      <c r="E25" s="2" t="s">
        <v>326</v>
      </c>
      <c r="F25" s="2" t="s">
        <v>280</v>
      </c>
      <c r="G25" s="44" t="s">
        <v>274</v>
      </c>
      <c r="H25" s="2" t="s">
        <v>329</v>
      </c>
      <c r="I25" s="2" t="s">
        <v>330</v>
      </c>
      <c r="J25" s="33"/>
    </row>
    <row r="26" spans="2:10" x14ac:dyDescent="0.3">
      <c r="B26" s="2">
        <v>13</v>
      </c>
      <c r="C26" s="4" t="s">
        <v>336</v>
      </c>
      <c r="D26" s="2" t="s">
        <v>284</v>
      </c>
      <c r="E26" s="2" t="s">
        <v>337</v>
      </c>
      <c r="F26" s="2" t="s">
        <v>340</v>
      </c>
      <c r="G26" s="44" t="s">
        <v>343</v>
      </c>
      <c r="H26" s="2" t="s">
        <v>344</v>
      </c>
      <c r="I26" s="2" t="s">
        <v>346</v>
      </c>
      <c r="J26" s="33"/>
    </row>
    <row r="27" spans="2:10" x14ac:dyDescent="0.3">
      <c r="B27" s="2">
        <v>14</v>
      </c>
      <c r="C27" s="4" t="s">
        <v>336</v>
      </c>
      <c r="D27" s="2" t="s">
        <v>284</v>
      </c>
      <c r="E27" s="2" t="s">
        <v>338</v>
      </c>
      <c r="F27" s="2" t="s">
        <v>341</v>
      </c>
      <c r="G27" s="44" t="s">
        <v>342</v>
      </c>
      <c r="H27" s="2" t="s">
        <v>344</v>
      </c>
      <c r="I27" s="2" t="s">
        <v>347</v>
      </c>
      <c r="J27" s="33"/>
    </row>
    <row r="28" spans="2:10" x14ac:dyDescent="0.3">
      <c r="B28" s="2">
        <v>15</v>
      </c>
      <c r="C28" s="4" t="s">
        <v>336</v>
      </c>
      <c r="D28" s="2" t="s">
        <v>284</v>
      </c>
      <c r="E28" s="2" t="s">
        <v>339</v>
      </c>
      <c r="F28" s="2" t="s">
        <v>340</v>
      </c>
      <c r="G28" s="44" t="s">
        <v>274</v>
      </c>
      <c r="H28" s="2" t="s">
        <v>345</v>
      </c>
      <c r="I28" s="2" t="s">
        <v>348</v>
      </c>
      <c r="J28" s="33"/>
    </row>
    <row r="29" spans="2:10" x14ac:dyDescent="0.3">
      <c r="B29" s="2">
        <v>16</v>
      </c>
      <c r="C29" s="4" t="s">
        <v>364</v>
      </c>
      <c r="D29" s="2" t="s">
        <v>365</v>
      </c>
      <c r="E29" s="2" t="s">
        <v>366</v>
      </c>
      <c r="F29" s="2" t="s">
        <v>367</v>
      </c>
      <c r="G29" s="49" t="s">
        <v>368</v>
      </c>
      <c r="H29" s="2" t="s">
        <v>369</v>
      </c>
      <c r="I29" s="2" t="s">
        <v>370</v>
      </c>
      <c r="J29" s="33"/>
    </row>
    <row r="30" spans="2:10" x14ac:dyDescent="0.3">
      <c r="B30" s="2">
        <v>17</v>
      </c>
      <c r="C30" s="4" t="s">
        <v>390</v>
      </c>
      <c r="D30" s="2" t="s">
        <v>365</v>
      </c>
      <c r="E30" s="2" t="s">
        <v>391</v>
      </c>
      <c r="F30" s="2" t="s">
        <v>392</v>
      </c>
      <c r="G30" s="50" t="s">
        <v>393</v>
      </c>
      <c r="H30" s="2" t="s">
        <v>394</v>
      </c>
      <c r="I30" s="2" t="s">
        <v>395</v>
      </c>
      <c r="J30" s="33"/>
    </row>
    <row r="31" spans="2:10" x14ac:dyDescent="0.3">
      <c r="B31" s="2">
        <v>18</v>
      </c>
      <c r="C31" s="4" t="s">
        <v>397</v>
      </c>
      <c r="D31" s="2" t="s">
        <v>398</v>
      </c>
      <c r="E31" s="2" t="s">
        <v>399</v>
      </c>
      <c r="F31" s="2" t="s">
        <v>400</v>
      </c>
      <c r="G31" s="49" t="s">
        <v>401</v>
      </c>
      <c r="H31" s="2" t="s">
        <v>402</v>
      </c>
      <c r="I31" s="2" t="s">
        <v>403</v>
      </c>
      <c r="J31" s="33"/>
    </row>
    <row r="32" spans="2:10" x14ac:dyDescent="0.3">
      <c r="B32" s="2"/>
      <c r="C32" s="4"/>
      <c r="D32" s="2"/>
      <c r="E32" s="2"/>
      <c r="F32" s="2"/>
      <c r="G32" s="49"/>
      <c r="H32" s="2"/>
      <c r="I32" s="2"/>
      <c r="J32" s="33"/>
    </row>
    <row r="33" spans="2:16" x14ac:dyDescent="0.3">
      <c r="B33" s="2"/>
      <c r="C33" s="4"/>
      <c r="D33" s="2"/>
      <c r="E33" s="2"/>
      <c r="F33" s="2"/>
      <c r="G33" s="49"/>
      <c r="H33" s="2"/>
      <c r="I33" s="2"/>
      <c r="J33" s="33"/>
    </row>
    <row r="34" spans="2:16" x14ac:dyDescent="0.3">
      <c r="B34" s="2"/>
      <c r="C34" s="4"/>
      <c r="D34" s="2"/>
      <c r="E34" s="2"/>
      <c r="F34" s="2"/>
      <c r="G34" s="49"/>
      <c r="H34" s="2"/>
      <c r="I34" s="2"/>
      <c r="J34" s="33"/>
    </row>
    <row r="35" spans="2:16" x14ac:dyDescent="0.3">
      <c r="B35" s="2"/>
      <c r="C35" s="4"/>
      <c r="D35" s="2"/>
      <c r="E35" s="2"/>
      <c r="F35" s="2"/>
      <c r="G35" s="49"/>
      <c r="H35" s="2"/>
      <c r="I35" s="2"/>
      <c r="J35" s="33"/>
    </row>
    <row r="36" spans="2:16" x14ac:dyDescent="0.3">
      <c r="B36" s="2"/>
      <c r="C36" s="4"/>
      <c r="D36" s="2"/>
      <c r="E36" s="2"/>
      <c r="F36" s="2"/>
      <c r="G36" s="49"/>
      <c r="H36" s="2"/>
      <c r="I36" s="2"/>
      <c r="J36" s="33"/>
    </row>
    <row r="37" spans="2:16" x14ac:dyDescent="0.3">
      <c r="B37" s="2"/>
      <c r="C37" s="4"/>
      <c r="D37" s="2"/>
      <c r="E37" s="2"/>
      <c r="F37" s="2"/>
      <c r="G37" s="44"/>
      <c r="H37" s="2"/>
      <c r="I37" s="2"/>
      <c r="J37" s="33"/>
    </row>
    <row r="38" spans="2:16" x14ac:dyDescent="0.3">
      <c r="B38" s="2"/>
      <c r="C38" s="4"/>
      <c r="D38" s="2"/>
      <c r="E38" s="2"/>
      <c r="F38" s="2"/>
      <c r="G38" s="44"/>
      <c r="H38" s="2"/>
      <c r="I38" s="2"/>
      <c r="J38" s="33"/>
    </row>
    <row r="39" spans="2:16" ht="26.25" x14ac:dyDescent="0.3">
      <c r="B39" s="9" t="s">
        <v>11</v>
      </c>
      <c r="C39" s="7"/>
      <c r="D39" s="7"/>
      <c r="E39" s="7"/>
      <c r="F39" s="7"/>
      <c r="G39" s="7"/>
      <c r="H39" s="7"/>
      <c r="I39" s="7"/>
      <c r="J39" s="8"/>
    </row>
    <row r="40" spans="2:16" x14ac:dyDescent="0.3">
      <c r="B40" s="6" t="s">
        <v>12</v>
      </c>
      <c r="C40" s="6" t="s">
        <v>3</v>
      </c>
      <c r="D40" s="6" t="s">
        <v>4</v>
      </c>
      <c r="E40" s="6" t="s">
        <v>5</v>
      </c>
      <c r="F40" s="6" t="s">
        <v>13</v>
      </c>
      <c r="G40" s="6" t="s">
        <v>176</v>
      </c>
      <c r="H40" s="6" t="s">
        <v>14</v>
      </c>
      <c r="I40" s="6" t="s">
        <v>8</v>
      </c>
      <c r="J40" s="6" t="s">
        <v>9</v>
      </c>
    </row>
    <row r="41" spans="2:16" x14ac:dyDescent="0.3">
      <c r="B41" s="2">
        <v>1</v>
      </c>
      <c r="C41" s="2" t="s">
        <v>74</v>
      </c>
      <c r="D41" s="2" t="s">
        <v>184</v>
      </c>
      <c r="E41" s="2" t="s">
        <v>76</v>
      </c>
      <c r="F41" s="2" t="s">
        <v>77</v>
      </c>
      <c r="G41" s="12" t="s">
        <v>78</v>
      </c>
      <c r="H41" s="12" t="s">
        <v>259</v>
      </c>
      <c r="I41" s="2" t="s">
        <v>80</v>
      </c>
      <c r="J41" s="2" t="s">
        <v>81</v>
      </c>
    </row>
    <row r="42" spans="2:16" x14ac:dyDescent="0.3">
      <c r="B42" s="2">
        <v>2</v>
      </c>
      <c r="C42" s="2" t="s">
        <v>87</v>
      </c>
      <c r="D42" s="2" t="s">
        <v>182</v>
      </c>
      <c r="E42" s="2" t="s">
        <v>88</v>
      </c>
      <c r="F42" s="2" t="s">
        <v>89</v>
      </c>
      <c r="G42" s="12" t="s">
        <v>78</v>
      </c>
      <c r="H42" s="12" t="s">
        <v>258</v>
      </c>
      <c r="I42" s="2" t="s">
        <v>90</v>
      </c>
      <c r="J42" s="2" t="s">
        <v>91</v>
      </c>
    </row>
    <row r="43" spans="2:16" x14ac:dyDescent="0.3">
      <c r="B43" s="2">
        <v>3</v>
      </c>
      <c r="C43" s="2" t="s">
        <v>261</v>
      </c>
      <c r="D43" s="2" t="s">
        <v>41</v>
      </c>
      <c r="E43" s="2" t="s">
        <v>106</v>
      </c>
      <c r="F43" s="2" t="s">
        <v>27</v>
      </c>
      <c r="G43" s="12" t="s">
        <v>100</v>
      </c>
      <c r="H43" s="12" t="s">
        <v>189</v>
      </c>
      <c r="I43" s="2" t="s">
        <v>107</v>
      </c>
      <c r="J43" s="2" t="s">
        <v>49</v>
      </c>
      <c r="K43" s="16"/>
      <c r="L43" s="16"/>
      <c r="O43" s="16"/>
      <c r="P43" s="16"/>
    </row>
    <row r="44" spans="2:16" x14ac:dyDescent="0.3">
      <c r="B44" s="2">
        <v>4</v>
      </c>
      <c r="C44" s="2" t="s">
        <v>262</v>
      </c>
      <c r="D44" s="2" t="s">
        <v>263</v>
      </c>
      <c r="E44" s="2" t="s">
        <v>264</v>
      </c>
      <c r="F44" s="2" t="s">
        <v>27</v>
      </c>
      <c r="G44" s="12" t="s">
        <v>100</v>
      </c>
      <c r="H44" s="12" t="s">
        <v>189</v>
      </c>
      <c r="I44" s="2" t="s">
        <v>107</v>
      </c>
      <c r="J44" s="2" t="s">
        <v>265</v>
      </c>
      <c r="K44" s="16"/>
      <c r="L44" s="16"/>
      <c r="O44" s="16"/>
      <c r="P44" s="16"/>
    </row>
    <row r="45" spans="2:16" x14ac:dyDescent="0.3">
      <c r="B45" s="2">
        <v>5</v>
      </c>
      <c r="C45" s="2" t="s">
        <v>108</v>
      </c>
      <c r="D45" s="2" t="s">
        <v>182</v>
      </c>
      <c r="E45" s="2" t="s">
        <v>109</v>
      </c>
      <c r="F45" s="2" t="s">
        <v>27</v>
      </c>
      <c r="G45" s="12" t="s">
        <v>100</v>
      </c>
      <c r="H45" s="12" t="s">
        <v>110</v>
      </c>
      <c r="I45" s="2" t="s">
        <v>111</v>
      </c>
      <c r="J45" s="2" t="s">
        <v>112</v>
      </c>
      <c r="K45" s="16"/>
      <c r="L45" s="16"/>
      <c r="O45" s="16"/>
      <c r="P45" s="16"/>
    </row>
    <row r="46" spans="2:16" x14ac:dyDescent="0.3">
      <c r="B46" s="2">
        <v>6</v>
      </c>
      <c r="C46" s="2" t="s">
        <v>113</v>
      </c>
      <c r="D46" s="2" t="s">
        <v>182</v>
      </c>
      <c r="E46" s="2" t="s">
        <v>114</v>
      </c>
      <c r="F46" s="2" t="s">
        <v>99</v>
      </c>
      <c r="G46" s="12" t="s">
        <v>100</v>
      </c>
      <c r="H46" s="12" t="s">
        <v>258</v>
      </c>
      <c r="I46" s="2" t="s">
        <v>115</v>
      </c>
      <c r="J46" s="2" t="s">
        <v>116</v>
      </c>
      <c r="K46" s="16"/>
      <c r="L46" s="16"/>
      <c r="O46" s="16"/>
      <c r="P46" s="16"/>
    </row>
    <row r="47" spans="2:16" x14ac:dyDescent="0.3">
      <c r="B47" s="2">
        <v>7</v>
      </c>
      <c r="C47" s="2" t="s">
        <v>117</v>
      </c>
      <c r="D47" s="2" t="s">
        <v>103</v>
      </c>
      <c r="E47" s="2" t="s">
        <v>118</v>
      </c>
      <c r="F47" s="2" t="s">
        <v>27</v>
      </c>
      <c r="G47" s="12" t="s">
        <v>119</v>
      </c>
      <c r="H47" s="12" t="s">
        <v>110</v>
      </c>
      <c r="I47" s="2" t="s">
        <v>120</v>
      </c>
      <c r="J47" s="2" t="s">
        <v>121</v>
      </c>
      <c r="K47" s="16"/>
      <c r="L47" s="16"/>
      <c r="O47" s="16"/>
      <c r="P47" s="16"/>
    </row>
    <row r="48" spans="2:16" x14ac:dyDescent="0.3">
      <c r="B48" s="2">
        <v>8</v>
      </c>
      <c r="C48" s="2" t="s">
        <v>134</v>
      </c>
      <c r="D48" s="2" t="s">
        <v>103</v>
      </c>
      <c r="E48" s="2" t="s">
        <v>135</v>
      </c>
      <c r="F48" s="2" t="s">
        <v>27</v>
      </c>
      <c r="G48" s="12" t="s">
        <v>79</v>
      </c>
      <c r="H48" s="12" t="s">
        <v>136</v>
      </c>
      <c r="I48" s="2" t="s">
        <v>137</v>
      </c>
      <c r="J48" s="2" t="s">
        <v>138</v>
      </c>
      <c r="K48" s="16"/>
      <c r="L48" s="16"/>
      <c r="O48" s="16"/>
      <c r="P48" s="16"/>
    </row>
    <row r="49" spans="2:16" x14ac:dyDescent="0.3">
      <c r="B49" s="2">
        <v>9</v>
      </c>
      <c r="C49" s="2" t="s">
        <v>63</v>
      </c>
      <c r="D49" s="2" t="s">
        <v>64</v>
      </c>
      <c r="E49" s="2" t="s">
        <v>139</v>
      </c>
      <c r="F49" s="2" t="s">
        <v>27</v>
      </c>
      <c r="G49" s="12" t="s">
        <v>79</v>
      </c>
      <c r="H49" s="12" t="s">
        <v>110</v>
      </c>
      <c r="I49" s="2" t="s">
        <v>140</v>
      </c>
      <c r="J49" s="2" t="s">
        <v>141</v>
      </c>
      <c r="K49" s="16"/>
      <c r="L49" s="16"/>
      <c r="O49" s="16"/>
      <c r="P49" s="16"/>
    </row>
    <row r="50" spans="2:16" x14ac:dyDescent="0.3">
      <c r="B50" s="2">
        <v>10</v>
      </c>
      <c r="C50" s="2" t="s">
        <v>145</v>
      </c>
      <c r="D50" s="2" t="s">
        <v>59</v>
      </c>
      <c r="E50" s="2" t="s">
        <v>146</v>
      </c>
      <c r="F50" s="2" t="s">
        <v>27</v>
      </c>
      <c r="G50" s="12" t="s">
        <v>79</v>
      </c>
      <c r="H50" s="12" t="s">
        <v>136</v>
      </c>
      <c r="I50" s="2" t="s">
        <v>147</v>
      </c>
      <c r="J50" s="2" t="s">
        <v>148</v>
      </c>
      <c r="K50" s="16"/>
      <c r="L50" s="16"/>
      <c r="M50" s="16"/>
      <c r="N50" s="16"/>
      <c r="O50" s="16"/>
      <c r="P50" s="16"/>
    </row>
    <row r="51" spans="2:16" x14ac:dyDescent="0.3">
      <c r="B51" s="2">
        <v>11</v>
      </c>
      <c r="C51" s="2" t="s">
        <v>31</v>
      </c>
      <c r="D51" s="2" t="s">
        <v>64</v>
      </c>
      <c r="E51" s="2" t="s">
        <v>149</v>
      </c>
      <c r="F51" s="2" t="s">
        <v>150</v>
      </c>
      <c r="G51" s="12" t="s">
        <v>79</v>
      </c>
      <c r="H51" s="12" t="s">
        <v>136</v>
      </c>
      <c r="I51" s="2" t="s">
        <v>151</v>
      </c>
      <c r="J51" s="2" t="s">
        <v>152</v>
      </c>
      <c r="K51" s="16"/>
      <c r="L51" s="16"/>
      <c r="M51" s="16"/>
      <c r="N51" s="16"/>
      <c r="O51" s="16"/>
      <c r="P51" s="16"/>
    </row>
    <row r="52" spans="2:16" x14ac:dyDescent="0.3">
      <c r="B52" s="2">
        <v>12</v>
      </c>
      <c r="C52" s="2" t="s">
        <v>40</v>
      </c>
      <c r="D52" s="2" t="s">
        <v>32</v>
      </c>
      <c r="E52" s="2" t="s">
        <v>156</v>
      </c>
      <c r="F52" s="2" t="s">
        <v>27</v>
      </c>
      <c r="G52" s="12" t="s">
        <v>79</v>
      </c>
      <c r="H52" s="12" t="s">
        <v>110</v>
      </c>
      <c r="I52" s="2" t="s">
        <v>157</v>
      </c>
      <c r="J52" s="2" t="s">
        <v>158</v>
      </c>
    </row>
    <row r="53" spans="2:16" x14ac:dyDescent="0.3">
      <c r="B53" s="2">
        <v>13</v>
      </c>
      <c r="C53" s="2" t="s">
        <v>159</v>
      </c>
      <c r="D53" s="2" t="s">
        <v>103</v>
      </c>
      <c r="E53" s="2" t="s">
        <v>160</v>
      </c>
      <c r="F53" s="2" t="s">
        <v>27</v>
      </c>
      <c r="G53" s="12" t="s">
        <v>79</v>
      </c>
      <c r="H53" s="12" t="s">
        <v>110</v>
      </c>
      <c r="I53" s="2" t="s">
        <v>161</v>
      </c>
      <c r="J53" s="2" t="s">
        <v>162</v>
      </c>
    </row>
    <row r="54" spans="2:16" x14ac:dyDescent="0.3">
      <c r="B54" s="2">
        <v>14</v>
      </c>
      <c r="C54" s="2" t="s">
        <v>46</v>
      </c>
      <c r="D54" s="2" t="s">
        <v>103</v>
      </c>
      <c r="E54" s="2" t="s">
        <v>163</v>
      </c>
      <c r="F54" s="2" t="s">
        <v>99</v>
      </c>
      <c r="G54" s="12" t="s">
        <v>79</v>
      </c>
      <c r="H54" s="12" t="s">
        <v>136</v>
      </c>
      <c r="I54" s="2" t="s">
        <v>80</v>
      </c>
      <c r="J54" s="2" t="s">
        <v>164</v>
      </c>
    </row>
    <row r="55" spans="2:16" x14ac:dyDescent="0.3">
      <c r="B55" s="2">
        <v>15</v>
      </c>
      <c r="C55" s="2" t="s">
        <v>165</v>
      </c>
      <c r="D55" s="2" t="s">
        <v>64</v>
      </c>
      <c r="E55" s="2" t="s">
        <v>166</v>
      </c>
      <c r="F55" s="2" t="s">
        <v>99</v>
      </c>
      <c r="G55" s="12" t="s">
        <v>79</v>
      </c>
      <c r="H55" s="12" t="s">
        <v>189</v>
      </c>
      <c r="I55" s="2" t="s">
        <v>167</v>
      </c>
      <c r="J55" s="2" t="s">
        <v>223</v>
      </c>
    </row>
    <row r="56" spans="2:16" x14ac:dyDescent="0.3">
      <c r="B56" s="2">
        <v>16</v>
      </c>
      <c r="C56" s="2" t="s">
        <v>165</v>
      </c>
      <c r="D56" s="2" t="s">
        <v>41</v>
      </c>
      <c r="E56" s="2" t="s">
        <v>169</v>
      </c>
      <c r="F56" s="2" t="s">
        <v>77</v>
      </c>
      <c r="G56" s="12" t="s">
        <v>79</v>
      </c>
      <c r="H56" s="12" t="s">
        <v>170</v>
      </c>
      <c r="I56" s="2" t="s">
        <v>48</v>
      </c>
      <c r="J56" s="2" t="s">
        <v>171</v>
      </c>
    </row>
    <row r="57" spans="2:16" x14ac:dyDescent="0.3">
      <c r="B57" s="2">
        <v>17</v>
      </c>
      <c r="C57" s="2" t="s">
        <v>173</v>
      </c>
      <c r="D57" s="2" t="s">
        <v>103</v>
      </c>
      <c r="E57" s="2" t="s">
        <v>174</v>
      </c>
      <c r="F57" s="2" t="s">
        <v>27</v>
      </c>
      <c r="G57" s="12" t="s">
        <v>110</v>
      </c>
      <c r="H57" s="12" t="s">
        <v>170</v>
      </c>
      <c r="I57" s="2" t="s">
        <v>80</v>
      </c>
      <c r="J57" s="2" t="s">
        <v>175</v>
      </c>
    </row>
    <row r="58" spans="2:16" x14ac:dyDescent="0.3">
      <c r="B58" s="2">
        <v>18</v>
      </c>
      <c r="C58" s="4" t="s">
        <v>173</v>
      </c>
      <c r="D58" s="2" t="s">
        <v>103</v>
      </c>
      <c r="E58" s="2" t="s">
        <v>174</v>
      </c>
      <c r="F58" s="2" t="s">
        <v>27</v>
      </c>
      <c r="G58" s="12" t="s">
        <v>110</v>
      </c>
      <c r="H58" s="12" t="s">
        <v>170</v>
      </c>
      <c r="I58" s="2" t="s">
        <v>80</v>
      </c>
      <c r="J58" s="2" t="s">
        <v>175</v>
      </c>
    </row>
    <row r="59" spans="2:16" x14ac:dyDescent="0.3">
      <c r="B59" s="2">
        <v>19</v>
      </c>
      <c r="C59" s="4" t="s">
        <v>196</v>
      </c>
      <c r="D59" s="2" t="s">
        <v>59</v>
      </c>
      <c r="E59" s="2" t="s">
        <v>219</v>
      </c>
      <c r="F59" s="2" t="s">
        <v>27</v>
      </c>
      <c r="G59" s="12" t="s">
        <v>110</v>
      </c>
      <c r="H59" s="12" t="s">
        <v>170</v>
      </c>
      <c r="I59" s="2" t="s">
        <v>221</v>
      </c>
      <c r="J59" s="2" t="s">
        <v>220</v>
      </c>
    </row>
    <row r="60" spans="2:16" x14ac:dyDescent="0.3">
      <c r="B60" s="2">
        <v>20</v>
      </c>
      <c r="C60" s="2" t="s">
        <v>165</v>
      </c>
      <c r="D60" s="2" t="s">
        <v>41</v>
      </c>
      <c r="E60" s="2" t="s">
        <v>172</v>
      </c>
      <c r="F60" s="2" t="s">
        <v>150</v>
      </c>
      <c r="G60" s="12" t="s">
        <v>110</v>
      </c>
      <c r="H60" s="12" t="s">
        <v>110</v>
      </c>
      <c r="I60" s="2" t="s">
        <v>48</v>
      </c>
      <c r="J60" s="2" t="s">
        <v>171</v>
      </c>
    </row>
    <row r="61" spans="2:16" x14ac:dyDescent="0.3">
      <c r="B61" s="2">
        <v>21</v>
      </c>
      <c r="C61" s="2" t="s">
        <v>302</v>
      </c>
      <c r="D61" s="2" t="s">
        <v>284</v>
      </c>
      <c r="E61" s="2" t="s">
        <v>303</v>
      </c>
      <c r="F61" s="2"/>
      <c r="G61" s="12" t="s">
        <v>110</v>
      </c>
      <c r="H61" s="12" t="s">
        <v>190</v>
      </c>
      <c r="I61" s="2" t="s">
        <v>304</v>
      </c>
      <c r="J61" s="2" t="s">
        <v>305</v>
      </c>
    </row>
    <row r="62" spans="2:16" x14ac:dyDescent="0.3">
      <c r="B62" s="2">
        <v>22</v>
      </c>
      <c r="C62" s="2" t="s">
        <v>311</v>
      </c>
      <c r="D62" s="2" t="s">
        <v>278</v>
      </c>
      <c r="E62" s="2" t="s">
        <v>313</v>
      </c>
      <c r="F62" s="2" t="s">
        <v>292</v>
      </c>
      <c r="G62" s="12" t="s">
        <v>309</v>
      </c>
      <c r="H62" s="12" t="s">
        <v>306</v>
      </c>
      <c r="I62" s="2" t="s">
        <v>315</v>
      </c>
      <c r="J62" s="2" t="s">
        <v>316</v>
      </c>
    </row>
    <row r="63" spans="2:16" x14ac:dyDescent="0.3">
      <c r="B63" s="2"/>
      <c r="C63" s="2" t="s">
        <v>321</v>
      </c>
      <c r="D63" s="2" t="s">
        <v>320</v>
      </c>
      <c r="E63" s="2" t="s">
        <v>319</v>
      </c>
      <c r="F63" s="2" t="s">
        <v>292</v>
      </c>
      <c r="G63" s="51" t="s">
        <v>396</v>
      </c>
      <c r="H63" s="12" t="s">
        <v>331</v>
      </c>
      <c r="I63" s="2" t="s">
        <v>322</v>
      </c>
      <c r="J63" s="2" t="s">
        <v>323</v>
      </c>
    </row>
    <row r="64" spans="2:16" x14ac:dyDescent="0.3">
      <c r="B64" s="2"/>
      <c r="C64" s="2" t="s">
        <v>371</v>
      </c>
      <c r="D64" s="2" t="s">
        <v>372</v>
      </c>
      <c r="E64" s="2" t="s">
        <v>373</v>
      </c>
      <c r="F64" s="2" t="s">
        <v>374</v>
      </c>
      <c r="G64" s="52" t="s">
        <v>396</v>
      </c>
      <c r="H64" s="38" t="s">
        <v>375</v>
      </c>
      <c r="I64" s="39" t="s">
        <v>376</v>
      </c>
      <c r="J64" s="39" t="s">
        <v>377</v>
      </c>
    </row>
    <row r="65" spans="2:10" x14ac:dyDescent="0.3">
      <c r="B65" s="2"/>
      <c r="C65" s="2" t="s">
        <v>378</v>
      </c>
      <c r="D65" s="2" t="s">
        <v>379</v>
      </c>
      <c r="E65" s="2" t="s">
        <v>380</v>
      </c>
      <c r="F65" s="2" t="s">
        <v>374</v>
      </c>
      <c r="G65" s="52" t="s">
        <v>396</v>
      </c>
      <c r="H65" s="38" t="s">
        <v>381</v>
      </c>
      <c r="I65" s="39" t="s">
        <v>382</v>
      </c>
      <c r="J65" s="39" t="s">
        <v>383</v>
      </c>
    </row>
    <row r="66" spans="2:10" x14ac:dyDescent="0.3">
      <c r="B66" s="2"/>
      <c r="C66" s="2" t="s">
        <v>378</v>
      </c>
      <c r="D66" s="2" t="s">
        <v>384</v>
      </c>
      <c r="E66" s="2" t="s">
        <v>385</v>
      </c>
      <c r="F66" s="2" t="s">
        <v>386</v>
      </c>
      <c r="G66" s="52" t="s">
        <v>396</v>
      </c>
      <c r="H66" s="38" t="s">
        <v>387</v>
      </c>
      <c r="I66" s="39" t="s">
        <v>388</v>
      </c>
      <c r="J66" s="39" t="s">
        <v>389</v>
      </c>
    </row>
    <row r="67" spans="2:10" x14ac:dyDescent="0.3">
      <c r="B67" s="2"/>
      <c r="C67" s="2"/>
      <c r="D67" s="2"/>
      <c r="E67" s="2"/>
      <c r="F67" s="2"/>
      <c r="G67" s="38"/>
      <c r="H67" s="38"/>
      <c r="I67" s="39"/>
      <c r="J67" s="39"/>
    </row>
    <row r="68" spans="2:10" x14ac:dyDescent="0.3">
      <c r="B68" s="2"/>
      <c r="C68" s="2"/>
      <c r="D68" s="2"/>
      <c r="E68" s="2"/>
      <c r="F68" s="2"/>
      <c r="G68" s="38"/>
      <c r="H68" s="38"/>
      <c r="I68" s="39"/>
      <c r="J68" s="39"/>
    </row>
    <row r="69" spans="2:10" ht="20.25" x14ac:dyDescent="0.3">
      <c r="B69" s="72" t="s">
        <v>180</v>
      </c>
      <c r="C69" s="73"/>
      <c r="D69" s="73"/>
      <c r="E69" s="73"/>
      <c r="F69" s="73"/>
      <c r="G69" s="73"/>
      <c r="H69" s="73"/>
      <c r="I69" s="73"/>
      <c r="J69" s="74"/>
    </row>
  </sheetData>
  <autoFilter ref="B40:J63">
    <sortState ref="B35:J57">
      <sortCondition ref="C32:C64"/>
    </sortState>
  </autoFilter>
  <mergeCells count="8">
    <mergeCell ref="M6:N6"/>
    <mergeCell ref="B69:J69"/>
    <mergeCell ref="B2:J3"/>
    <mergeCell ref="D4:E4"/>
    <mergeCell ref="F4:H5"/>
    <mergeCell ref="I4:J5"/>
    <mergeCell ref="D5:E5"/>
    <mergeCell ref="B6:J6"/>
  </mergeCells>
  <phoneticPr fontId="1" type="noConversion"/>
  <conditionalFormatting sqref="C38:J38 C46:J46 C49:J49 C55:G55 I55:J55 C60:J60 C52:J52 B51:J51 G61:H62">
    <cfRule type="expression" dxfId="443" priority="67">
      <formula>$C39&lt;&gt;" "</formula>
    </cfRule>
    <cfRule type="expression" dxfId="442" priority="68">
      <formula>$C$7</formula>
    </cfRule>
  </conditionalFormatting>
  <conditionalFormatting sqref="C20:E20 G20:J20 C48:J48 C60:J60 C52:J52 G67:H68">
    <cfRule type="expression" dxfId="441" priority="65">
      <formula>$C23&lt;&gt;" "</formula>
    </cfRule>
    <cfRule type="expression" dxfId="440" priority="66">
      <formula>$C$7</formula>
    </cfRule>
  </conditionalFormatting>
  <conditionalFormatting sqref="C21:J21 F16:F17 C53:J53 B60:J60 B61 G61:H61 G68:H68 C43:J44 B43:B45 C50:J51 B48:B49 B52:B59">
    <cfRule type="expression" dxfId="439" priority="63">
      <formula>$C18&lt;&gt;" "</formula>
    </cfRule>
    <cfRule type="expression" dxfId="438" priority="64">
      <formula>$C$7</formula>
    </cfRule>
  </conditionalFormatting>
  <conditionalFormatting sqref="G67:H67">
    <cfRule type="expression" dxfId="437" priority="61">
      <formula>$C75&lt;&gt;" "</formula>
    </cfRule>
    <cfRule type="expression" dxfId="436" priority="62">
      <formula>$C$7</formula>
    </cfRule>
  </conditionalFormatting>
  <conditionalFormatting sqref="B36 B31 B23:B24">
    <cfRule type="expression" dxfId="435" priority="59">
      <formula>$C43&lt;&gt;" "</formula>
    </cfRule>
    <cfRule type="expression" dxfId="434" priority="60">
      <formula>$C$7</formula>
    </cfRule>
  </conditionalFormatting>
  <conditionalFormatting sqref="F17:I17 I18:I19 C16:J16 C17:D17 B15:B29 B31">
    <cfRule type="expression" dxfId="433" priority="57">
      <formula>$C37&lt;&gt;" "</formula>
    </cfRule>
    <cfRule type="expression" dxfId="432" priority="58">
      <formula>$C$7</formula>
    </cfRule>
  </conditionalFormatting>
  <conditionalFormatting sqref="C53:J55 C45:J45 C17:H17 J17 B41:J41 C10:J10 G16 B9 C12:J14 C8:J8 B38 B42:B64 B66 B23:J37 B11:B31">
    <cfRule type="expression" dxfId="431" priority="55">
      <formula>#REF!&lt;&gt;" "</formula>
    </cfRule>
    <cfRule type="expression" dxfId="430" priority="56">
      <formula>$C$7</formula>
    </cfRule>
  </conditionalFormatting>
  <conditionalFormatting sqref="M9 C9:J9 C14:J15 G68:H68 G62:H64 B62:B64 B66">
    <cfRule type="expression" dxfId="429" priority="53">
      <formula>$C16&lt;&gt;" "</formula>
    </cfRule>
    <cfRule type="expression" dxfId="428" priority="54">
      <formula>$C$7</formula>
    </cfRule>
  </conditionalFormatting>
  <conditionalFormatting sqref="M9 C8:J10">
    <cfRule type="expression" dxfId="427" priority="51">
      <formula>$C21&lt;&gt;" "</formula>
    </cfRule>
    <cfRule type="expression" dxfId="426" priority="52">
      <formula>$C$7</formula>
    </cfRule>
  </conditionalFormatting>
  <conditionalFormatting sqref="C57:J58 G66:H67">
    <cfRule type="expression" dxfId="425" priority="49">
      <formula>$C61&lt;&gt;" "</formula>
    </cfRule>
    <cfRule type="expression" dxfId="424" priority="50">
      <formula>$C$7</formula>
    </cfRule>
  </conditionalFormatting>
  <conditionalFormatting sqref="C56:J56 G65:H66">
    <cfRule type="expression" dxfId="423" priority="47">
      <formula>$C61&lt;&gt;" "</formula>
    </cfRule>
    <cfRule type="expression" dxfId="422" priority="48">
      <formula>$C$7</formula>
    </cfRule>
  </conditionalFormatting>
  <conditionalFormatting sqref="C11:J11 C56:J56 G63:H65">
    <cfRule type="expression" dxfId="421" priority="45">
      <formula>$C17&lt;&gt;" "</formula>
    </cfRule>
    <cfRule type="expression" dxfId="420" priority="46">
      <formula>$C$7</formula>
    </cfRule>
  </conditionalFormatting>
  <conditionalFormatting sqref="B8:B9 B32">
    <cfRule type="expression" dxfId="419" priority="41">
      <formula>$C27&lt;&gt;" "</formula>
    </cfRule>
    <cfRule type="expression" dxfId="418" priority="42">
      <formula>$C$7</formula>
    </cfRule>
  </conditionalFormatting>
  <conditionalFormatting sqref="C22:J22">
    <cfRule type="expression" dxfId="417" priority="39">
      <formula>$B39&lt;&gt;" "</formula>
    </cfRule>
    <cfRule type="expression" dxfId="416" priority="40">
      <formula>$C$7</formula>
    </cfRule>
  </conditionalFormatting>
  <conditionalFormatting sqref="C11:J11 B10:B31">
    <cfRule type="expression" dxfId="415" priority="37">
      <formula>$C37&lt;&gt;" "</formula>
    </cfRule>
    <cfRule type="expression" dxfId="414" priority="38">
      <formula>$C$7</formula>
    </cfRule>
  </conditionalFormatting>
  <conditionalFormatting sqref="C15:J15">
    <cfRule type="expression" dxfId="413" priority="35">
      <formula>$B17&lt;&gt;" "</formula>
    </cfRule>
    <cfRule type="expression" dxfId="412" priority="36">
      <formula>$C$7</formula>
    </cfRule>
  </conditionalFormatting>
  <conditionalFormatting sqref="B36 B30 C13:J13">
    <cfRule type="expression" dxfId="411" priority="33">
      <formula>$C39&lt;&gt;" "</formula>
    </cfRule>
    <cfRule type="expression" dxfId="410" priority="34">
      <formula>$C$7</formula>
    </cfRule>
  </conditionalFormatting>
  <conditionalFormatting sqref="B47">
    <cfRule type="expression" dxfId="409" priority="29">
      <formula>#REF!&lt;&gt;" "</formula>
    </cfRule>
    <cfRule type="expression" dxfId="408" priority="30">
      <formula>$C$7</formula>
    </cfRule>
  </conditionalFormatting>
  <conditionalFormatting sqref="B50:J50 C47:J47 B46">
    <cfRule type="expression" dxfId="407" priority="27">
      <formula>#REF!&lt;&gt;" "</formula>
    </cfRule>
    <cfRule type="expression" dxfId="406" priority="28">
      <formula>$C$7</formula>
    </cfRule>
  </conditionalFormatting>
  <conditionalFormatting sqref="G66:H66">
    <cfRule type="expression" dxfId="405" priority="11">
      <formula>$C75&lt;&gt;" "</formula>
    </cfRule>
    <cfRule type="expression" dxfId="404" priority="12">
      <formula>$C$7</formula>
    </cfRule>
  </conditionalFormatting>
  <conditionalFormatting sqref="G65:H65 C59:J60">
    <cfRule type="expression" dxfId="403" priority="9">
      <formula>$C69&lt;&gt;" "</formula>
    </cfRule>
    <cfRule type="expression" dxfId="402" priority="10">
      <formula>$C$7</formula>
    </cfRule>
  </conditionalFormatting>
  <conditionalFormatting sqref="G22 C22:D22">
    <cfRule type="expression" dxfId="401" priority="7">
      <formula>$C38&lt;&gt;" "</formula>
    </cfRule>
    <cfRule type="expression" dxfId="400" priority="8">
      <formula>$C$7</formula>
    </cfRule>
  </conditionalFormatting>
  <conditionalFormatting sqref="C42:J42">
    <cfRule type="expression" dxfId="399" priority="71">
      <formula>#REF!&lt;&gt;" "</formula>
    </cfRule>
    <cfRule type="expression" dxfId="398" priority="72">
      <formula>$C$7</formula>
    </cfRule>
  </conditionalFormatting>
  <conditionalFormatting sqref="B40:J40">
    <cfRule type="expression" dxfId="397" priority="87">
      <formula>#REF!&lt;&gt;" "</formula>
    </cfRule>
    <cfRule type="expression" dxfId="396" priority="88">
      <formula>$C$7</formula>
    </cfRule>
  </conditionalFormatting>
  <conditionalFormatting sqref="B21">
    <cfRule type="expression" dxfId="395" priority="125">
      <formula>#REF!&lt;&gt;" "</formula>
    </cfRule>
    <cfRule type="expression" dxfId="394" priority="126">
      <formula>$C$7</formula>
    </cfRule>
  </conditionalFormatting>
  <conditionalFormatting sqref="B10">
    <cfRule type="expression" dxfId="393" priority="175">
      <formula>#REF!&lt;&gt;" "</formula>
    </cfRule>
    <cfRule type="expression" dxfId="392" priority="176">
      <formula>$C$7</formula>
    </cfRule>
  </conditionalFormatting>
  <conditionalFormatting sqref="B17">
    <cfRule type="expression" dxfId="391" priority="177">
      <formula>#REF!&lt;&gt;" "</formula>
    </cfRule>
    <cfRule type="expression" dxfId="390" priority="178">
      <formula>$C$7</formula>
    </cfRule>
  </conditionalFormatting>
  <conditionalFormatting sqref="B16">
    <cfRule type="expression" dxfId="389" priority="183">
      <formula>#REF!&lt;&gt;" "</formula>
    </cfRule>
    <cfRule type="expression" dxfId="388" priority="184">
      <formula>$C$7</formula>
    </cfRule>
  </conditionalFormatting>
  <conditionalFormatting sqref="B11">
    <cfRule type="expression" dxfId="387" priority="189">
      <formula>#REF!&lt;&gt;" "</formula>
    </cfRule>
    <cfRule type="expression" dxfId="386" priority="190">
      <formula>$C$7</formula>
    </cfRule>
  </conditionalFormatting>
  <conditionalFormatting sqref="B7:J7 B35">
    <cfRule type="expression" dxfId="385" priority="315">
      <formula>$C23&lt;&gt;" "</formula>
    </cfRule>
    <cfRule type="expression" dxfId="384" priority="316">
      <formula>$C$7</formula>
    </cfRule>
  </conditionalFormatting>
  <conditionalFormatting sqref="B8:B14 B16 B18 B20 B22 B24 B26 B28 B30">
    <cfRule type="expression" dxfId="383" priority="343">
      <formula>$C22&lt;&gt;" "</formula>
    </cfRule>
    <cfRule type="expression" dxfId="382" priority="344">
      <formula>$C$7</formula>
    </cfRule>
  </conditionalFormatting>
  <conditionalFormatting sqref="B36">
    <cfRule type="expression" dxfId="381" priority="407">
      <formula>$C51&lt;&gt;" "</formula>
    </cfRule>
    <cfRule type="expression" dxfId="380" priority="408">
      <formula>$C$7</formula>
    </cfRule>
  </conditionalFormatting>
  <conditionalFormatting sqref="B35">
    <cfRule type="expression" dxfId="379" priority="441">
      <formula>$C62&lt;&gt;" "</formula>
    </cfRule>
    <cfRule type="expression" dxfId="378" priority="442">
      <formula>$C$7</formula>
    </cfRule>
  </conditionalFormatting>
  <conditionalFormatting sqref="B35 C18:H19 J18:J19 B30">
    <cfRule type="expression" dxfId="377" priority="463">
      <formula>$C39&lt;&gt;" "</formula>
    </cfRule>
    <cfRule type="expression" dxfId="376" priority="464">
      <formula>$C$7</formula>
    </cfRule>
  </conditionalFormatting>
  <conditionalFormatting sqref="B34 B10:B13">
    <cfRule type="expression" dxfId="375" priority="513">
      <formula>$C38&lt;&gt;" "</formula>
    </cfRule>
    <cfRule type="expression" dxfId="374" priority="514">
      <formula>$C$7</formula>
    </cfRule>
  </conditionalFormatting>
  <conditionalFormatting sqref="B34">
    <cfRule type="expression" dxfId="373" priority="539">
      <formula>$C51&lt;&gt;" "</formula>
    </cfRule>
    <cfRule type="expression" dxfId="372" priority="540">
      <formula>$C$7</formula>
    </cfRule>
  </conditionalFormatting>
  <conditionalFormatting sqref="B34">
    <cfRule type="expression" dxfId="371" priority="555">
      <formula>$C56&lt;&gt;" "</formula>
    </cfRule>
    <cfRule type="expression" dxfId="370" priority="556">
      <formula>$C$7</formula>
    </cfRule>
  </conditionalFormatting>
  <conditionalFormatting sqref="G61:H64">
    <cfRule type="expression" dxfId="369" priority="563">
      <formula>$C72&lt;&gt;" "</formula>
    </cfRule>
    <cfRule type="expression" dxfId="368" priority="564">
      <formula>$C$7</formula>
    </cfRule>
  </conditionalFormatting>
  <conditionalFormatting sqref="B33">
    <cfRule type="expression" dxfId="367" priority="579">
      <formula>$C62&lt;&gt;" "</formula>
    </cfRule>
    <cfRule type="expression" dxfId="366" priority="580">
      <formula>$C$7</formula>
    </cfRule>
  </conditionalFormatting>
  <conditionalFormatting sqref="B33">
    <cfRule type="expression" dxfId="365" priority="603">
      <formula>$C51&lt;&gt;" "</formula>
    </cfRule>
    <cfRule type="expression" dxfId="364" priority="604">
      <formula>$C$7</formula>
    </cfRule>
  </conditionalFormatting>
  <conditionalFormatting sqref="B33">
    <cfRule type="expression" dxfId="363" priority="619">
      <formula>$C56&lt;&gt;" "</formula>
    </cfRule>
    <cfRule type="expression" dxfId="362" priority="620">
      <formula>$C$7</formula>
    </cfRule>
  </conditionalFormatting>
  <conditionalFormatting sqref="C57:J59">
    <cfRule type="expression" dxfId="361" priority="625">
      <formula>$C69&lt;&gt;" "</formula>
    </cfRule>
    <cfRule type="expression" dxfId="360" priority="626">
      <formula>$C$7</formula>
    </cfRule>
  </conditionalFormatting>
  <conditionalFormatting sqref="B32">
    <cfRule type="expression" dxfId="359" priority="645">
      <formula>$C62&lt;&gt;" "</formula>
    </cfRule>
    <cfRule type="expression" dxfId="358" priority="646">
      <formula>$C$7</formula>
    </cfRule>
  </conditionalFormatting>
  <conditionalFormatting sqref="B32">
    <cfRule type="expression" dxfId="357" priority="687">
      <formula>$C56&lt;&gt;" "</formula>
    </cfRule>
    <cfRule type="expression" dxfId="356" priority="688">
      <formula>$C$7</formula>
    </cfRule>
  </conditionalFormatting>
  <conditionalFormatting sqref="B12:B31">
    <cfRule type="expression" dxfId="355" priority="711">
      <formula>$C43&lt;&gt;" "</formula>
    </cfRule>
    <cfRule type="expression" dxfId="354" priority="712">
      <formula>$C$7</formula>
    </cfRule>
  </conditionalFormatting>
  <conditionalFormatting sqref="B31 B18:B22">
    <cfRule type="expression" dxfId="353" priority="755">
      <formula>$C43&lt;&gt;" "</formula>
    </cfRule>
    <cfRule type="expression" dxfId="352" priority="756">
      <formula>$C$7</formula>
    </cfRule>
  </conditionalFormatting>
  <conditionalFormatting sqref="B10 B30">
    <cfRule type="expression" dxfId="351" priority="777">
      <formula>$C42&lt;&gt;" "</formula>
    </cfRule>
    <cfRule type="expression" dxfId="350" priority="778">
      <formula>$C$7</formula>
    </cfRule>
  </conditionalFormatting>
  <conditionalFormatting sqref="B8:B31">
    <cfRule type="expression" dxfId="349" priority="843">
      <formula>$C41&lt;&gt;" "</formula>
    </cfRule>
    <cfRule type="expression" dxfId="348" priority="844">
      <formula>$C$7</formula>
    </cfRule>
  </conditionalFormatting>
  <conditionalFormatting sqref="G66:H66">
    <cfRule type="expression" dxfId="347" priority="3">
      <formula>$C72&lt;&gt;" "</formula>
    </cfRule>
    <cfRule type="expression" dxfId="346" priority="4">
      <formula>$C$7</formula>
    </cfRule>
  </conditionalFormatting>
  <conditionalFormatting sqref="G66:H66">
    <cfRule type="expression" dxfId="345" priority="1">
      <formula>$C76&lt;&gt;" "</formula>
    </cfRule>
    <cfRule type="expression" dxfId="344" priority="2">
      <formula>$C$7</formula>
    </cfRule>
  </conditionalFormatting>
  <pageMargins left="0.7" right="0.7" top="0.75" bottom="0.75" header="0.3" footer="0.3"/>
  <pageSetup paperSize="9"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3"/>
  <sheetViews>
    <sheetView topLeftCell="A4" zoomScale="85" zoomScaleNormal="85" workbookViewId="0">
      <selection activeCell="K32" sqref="K32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  <col min="11" max="11" width="18.75" customWidth="1"/>
    <col min="13" max="13" width="13.875" bestFit="1" customWidth="1"/>
  </cols>
  <sheetData>
    <row r="2" spans="2:14" x14ac:dyDescent="0.3">
      <c r="B2" s="75" t="s">
        <v>310</v>
      </c>
      <c r="C2" s="76"/>
      <c r="D2" s="76"/>
      <c r="E2" s="76"/>
      <c r="F2" s="76"/>
      <c r="G2" s="76"/>
      <c r="H2" s="76"/>
      <c r="I2" s="76"/>
      <c r="J2" s="77"/>
    </row>
    <row r="3" spans="2:14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4" ht="26.25" x14ac:dyDescent="0.3">
      <c r="B4" s="10" t="s">
        <v>0</v>
      </c>
      <c r="C4" s="11"/>
      <c r="D4" s="81">
        <f>COUNT(B8:B31)</f>
        <v>19</v>
      </c>
      <c r="E4" s="82"/>
      <c r="F4" s="83" t="s">
        <v>181</v>
      </c>
      <c r="G4" s="84"/>
      <c r="H4" s="84"/>
      <c r="I4" s="87" t="s">
        <v>179</v>
      </c>
      <c r="J4" s="88"/>
    </row>
    <row r="5" spans="2:14" ht="26.25" x14ac:dyDescent="0.3">
      <c r="B5" s="10" t="s">
        <v>1</v>
      </c>
      <c r="C5" s="11"/>
      <c r="D5" s="81">
        <f>COUNT(B34:B57)</f>
        <v>22</v>
      </c>
      <c r="E5" s="82"/>
      <c r="F5" s="85"/>
      <c r="G5" s="86"/>
      <c r="H5" s="86"/>
      <c r="I5" s="89"/>
      <c r="J5" s="90"/>
    </row>
    <row r="6" spans="2:14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  <c r="M6" s="71" t="s">
        <v>235</v>
      </c>
      <c r="N6" s="71"/>
    </row>
    <row r="7" spans="2:14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M7" s="2" t="s">
        <v>227</v>
      </c>
      <c r="N7" s="15">
        <f>COUNTIF(F8:F31,"*계약만료*")</f>
        <v>7</v>
      </c>
    </row>
    <row r="8" spans="2:14" x14ac:dyDescent="0.3">
      <c r="B8" s="2"/>
      <c r="C8" s="23" t="s">
        <v>224</v>
      </c>
      <c r="D8" s="22" t="s">
        <v>64</v>
      </c>
      <c r="E8" s="22" t="s">
        <v>69</v>
      </c>
      <c r="F8" s="22" t="s">
        <v>66</v>
      </c>
      <c r="G8" s="42" t="s">
        <v>52</v>
      </c>
      <c r="H8" s="22" t="s">
        <v>67</v>
      </c>
      <c r="I8" s="22" t="s">
        <v>70</v>
      </c>
      <c r="J8" s="43"/>
      <c r="M8" s="2" t="s">
        <v>228</v>
      </c>
      <c r="N8" s="15">
        <f>COUNTIF(F4:F21,"*비용절감*")</f>
        <v>2</v>
      </c>
    </row>
    <row r="9" spans="2:14" x14ac:dyDescent="0.3">
      <c r="B9" s="2">
        <v>1</v>
      </c>
      <c r="C9" s="4" t="s">
        <v>40</v>
      </c>
      <c r="D9" s="2" t="s">
        <v>64</v>
      </c>
      <c r="E9" s="2" t="s">
        <v>71</v>
      </c>
      <c r="F9" s="2" t="s">
        <v>27</v>
      </c>
      <c r="G9" s="34" t="s">
        <v>52</v>
      </c>
      <c r="H9" s="2" t="s">
        <v>72</v>
      </c>
      <c r="I9" s="2" t="s">
        <v>73</v>
      </c>
      <c r="J9" s="33">
        <v>2500000</v>
      </c>
      <c r="M9" s="4" t="s">
        <v>225</v>
      </c>
      <c r="N9" s="15">
        <f>COUNTIF(F8:F31,"*사용자퇴사*")</f>
        <v>8</v>
      </c>
    </row>
    <row r="10" spans="2:14" x14ac:dyDescent="0.3">
      <c r="B10" s="2">
        <v>2</v>
      </c>
      <c r="C10" s="4" t="s">
        <v>198</v>
      </c>
      <c r="D10" s="2" t="s">
        <v>32</v>
      </c>
      <c r="E10" s="2" t="s">
        <v>199</v>
      </c>
      <c r="F10" s="2" t="s">
        <v>27</v>
      </c>
      <c r="G10" s="34" t="s">
        <v>52</v>
      </c>
      <c r="H10" s="2" t="s">
        <v>215</v>
      </c>
      <c r="I10" s="2" t="s">
        <v>210</v>
      </c>
      <c r="J10" s="33"/>
      <c r="M10" s="2" t="s">
        <v>230</v>
      </c>
      <c r="N10" s="15">
        <f>COUNTIF(F8:F31,"*조직개편*")</f>
        <v>0</v>
      </c>
    </row>
    <row r="11" spans="2:14" x14ac:dyDescent="0.3">
      <c r="B11" s="2">
        <v>3</v>
      </c>
      <c r="C11" s="4" t="s">
        <v>196</v>
      </c>
      <c r="D11" s="2" t="s">
        <v>41</v>
      </c>
      <c r="E11" s="2" t="s">
        <v>200</v>
      </c>
      <c r="F11" s="2" t="s">
        <v>201</v>
      </c>
      <c r="G11" s="34" t="s">
        <v>52</v>
      </c>
      <c r="H11" s="2" t="s">
        <v>216</v>
      </c>
      <c r="I11" s="2" t="s">
        <v>211</v>
      </c>
      <c r="J11" s="33"/>
      <c r="M11" s="2" t="s">
        <v>231</v>
      </c>
      <c r="N11" s="15">
        <f>COUNTIF(F8:F31,"*휴직/장기출장*")</f>
        <v>1</v>
      </c>
    </row>
    <row r="12" spans="2:14" x14ac:dyDescent="0.3">
      <c r="B12" s="2">
        <v>4</v>
      </c>
      <c r="C12" s="4" t="s">
        <v>202</v>
      </c>
      <c r="D12" s="2" t="s">
        <v>41</v>
      </c>
      <c r="E12" s="2" t="s">
        <v>203</v>
      </c>
      <c r="F12" s="2" t="s">
        <v>201</v>
      </c>
      <c r="G12" s="34" t="s">
        <v>52</v>
      </c>
      <c r="H12" s="2" t="s">
        <v>53</v>
      </c>
      <c r="I12" s="2" t="s">
        <v>212</v>
      </c>
      <c r="J12" s="33"/>
      <c r="M12" s="2" t="s">
        <v>229</v>
      </c>
      <c r="N12" s="15">
        <f>COUNTIF(F8:F32,"*합병매각*")</f>
        <v>0</v>
      </c>
    </row>
    <row r="13" spans="2:14" x14ac:dyDescent="0.3">
      <c r="B13" s="2">
        <v>5</v>
      </c>
      <c r="C13" s="4" t="s">
        <v>204</v>
      </c>
      <c r="D13" s="2" t="s">
        <v>103</v>
      </c>
      <c r="E13" s="2" t="s">
        <v>205</v>
      </c>
      <c r="F13" s="2" t="s">
        <v>27</v>
      </c>
      <c r="G13" s="34" t="s">
        <v>52</v>
      </c>
      <c r="H13" s="2" t="s">
        <v>217</v>
      </c>
      <c r="I13" s="2" t="s">
        <v>213</v>
      </c>
      <c r="J13" s="33"/>
      <c r="M13" s="2" t="s">
        <v>226</v>
      </c>
      <c r="N13" s="15">
        <f>COUNTIF(F8:F31,"*활용저조*")</f>
        <v>0</v>
      </c>
    </row>
    <row r="14" spans="2:14" x14ac:dyDescent="0.3">
      <c r="B14" s="2">
        <v>6</v>
      </c>
      <c r="C14" s="4" t="s">
        <v>206</v>
      </c>
      <c r="D14" s="2" t="s">
        <v>64</v>
      </c>
      <c r="E14" s="2" t="s">
        <v>143</v>
      </c>
      <c r="F14" s="2" t="s">
        <v>27</v>
      </c>
      <c r="G14" s="34" t="s">
        <v>52</v>
      </c>
      <c r="H14" s="2" t="s">
        <v>85</v>
      </c>
      <c r="I14" s="2" t="s">
        <v>144</v>
      </c>
      <c r="J14" s="33"/>
      <c r="M14" s="2" t="s">
        <v>232</v>
      </c>
      <c r="N14" s="15">
        <f>COUNTIF(F8:F34,"*타사대체*")</f>
        <v>0</v>
      </c>
    </row>
    <row r="15" spans="2:14" x14ac:dyDescent="0.3">
      <c r="B15" s="2">
        <v>7</v>
      </c>
      <c r="C15" s="4" t="s">
        <v>207</v>
      </c>
      <c r="D15" s="2" t="s">
        <v>64</v>
      </c>
      <c r="E15" s="2" t="s">
        <v>208</v>
      </c>
      <c r="F15" s="2" t="s">
        <v>66</v>
      </c>
      <c r="G15" s="34" t="s">
        <v>209</v>
      </c>
      <c r="H15" s="2" t="s">
        <v>218</v>
      </c>
      <c r="I15" s="2" t="s">
        <v>214</v>
      </c>
      <c r="J15" s="33"/>
      <c r="M15" s="2" t="s">
        <v>233</v>
      </c>
      <c r="N15" s="15">
        <f>COUNTIF(F9:F35,"*비용미납*")</f>
        <v>0</v>
      </c>
    </row>
    <row r="16" spans="2:14" x14ac:dyDescent="0.3">
      <c r="B16" s="2">
        <v>8</v>
      </c>
      <c r="C16" s="2" t="s">
        <v>207</v>
      </c>
      <c r="D16" s="2" t="s">
        <v>64</v>
      </c>
      <c r="E16" s="2" t="s">
        <v>197</v>
      </c>
      <c r="F16" s="2" t="s">
        <v>66</v>
      </c>
      <c r="G16" s="34" t="s">
        <v>209</v>
      </c>
      <c r="H16" s="2" t="s">
        <v>218</v>
      </c>
      <c r="I16" s="2" t="s">
        <v>214</v>
      </c>
      <c r="J16" s="33"/>
      <c r="M16" s="2" t="s">
        <v>234</v>
      </c>
      <c r="N16" s="15">
        <f>SUM(N7:N15)</f>
        <v>18</v>
      </c>
    </row>
    <row r="17" spans="2:10" x14ac:dyDescent="0.3">
      <c r="B17" s="2">
        <v>9</v>
      </c>
      <c r="C17" s="4" t="s">
        <v>245</v>
      </c>
      <c r="D17" s="2" t="s">
        <v>238</v>
      </c>
      <c r="E17" s="2" t="s">
        <v>242</v>
      </c>
      <c r="F17" s="2" t="s">
        <v>66</v>
      </c>
      <c r="G17" s="34" t="s">
        <v>52</v>
      </c>
      <c r="H17" s="2" t="s">
        <v>246</v>
      </c>
      <c r="I17" s="2" t="s">
        <v>243</v>
      </c>
      <c r="J17" s="33"/>
    </row>
    <row r="18" spans="2:10" x14ac:dyDescent="0.3">
      <c r="B18" s="2">
        <v>10</v>
      </c>
      <c r="C18" s="4" t="s">
        <v>245</v>
      </c>
      <c r="D18" s="2" t="s">
        <v>238</v>
      </c>
      <c r="E18" s="2" t="s">
        <v>244</v>
      </c>
      <c r="F18" s="2" t="s">
        <v>247</v>
      </c>
      <c r="G18" s="34" t="s">
        <v>52</v>
      </c>
      <c r="H18" s="2" t="s">
        <v>246</v>
      </c>
      <c r="I18" s="2" t="s">
        <v>243</v>
      </c>
      <c r="J18" s="33"/>
    </row>
    <row r="19" spans="2:10" x14ac:dyDescent="0.3">
      <c r="B19" s="2">
        <v>11</v>
      </c>
      <c r="C19" s="4" t="s">
        <v>249</v>
      </c>
      <c r="D19" s="2" t="s">
        <v>250</v>
      </c>
      <c r="E19" s="2" t="s">
        <v>251</v>
      </c>
      <c r="F19" s="2" t="s">
        <v>252</v>
      </c>
      <c r="G19" s="34" t="s">
        <v>253</v>
      </c>
      <c r="H19" s="2" t="s">
        <v>254</v>
      </c>
      <c r="I19" s="20" t="s">
        <v>255</v>
      </c>
      <c r="J19" s="33"/>
    </row>
    <row r="20" spans="2:10" x14ac:dyDescent="0.3">
      <c r="B20" s="2">
        <v>12</v>
      </c>
      <c r="C20" s="4" t="s">
        <v>249</v>
      </c>
      <c r="D20" s="2" t="s">
        <v>250</v>
      </c>
      <c r="E20" s="2" t="s">
        <v>256</v>
      </c>
      <c r="F20" s="2" t="s">
        <v>252</v>
      </c>
      <c r="G20" s="34" t="s">
        <v>253</v>
      </c>
      <c r="H20" s="2" t="s">
        <v>254</v>
      </c>
      <c r="I20" s="20" t="s">
        <v>255</v>
      </c>
      <c r="J20" s="33"/>
    </row>
    <row r="21" spans="2:10" x14ac:dyDescent="0.3">
      <c r="B21" s="2">
        <v>13</v>
      </c>
      <c r="C21" s="4" t="s">
        <v>271</v>
      </c>
      <c r="D21" s="2" t="s">
        <v>272</v>
      </c>
      <c r="E21" s="2" t="s">
        <v>273</v>
      </c>
      <c r="F21" s="2" t="s">
        <v>231</v>
      </c>
      <c r="G21" s="34" t="s">
        <v>274</v>
      </c>
      <c r="H21" s="2" t="s">
        <v>275</v>
      </c>
      <c r="I21" s="2" t="s">
        <v>276</v>
      </c>
      <c r="J21" s="33"/>
    </row>
    <row r="22" spans="2:10" x14ac:dyDescent="0.3">
      <c r="B22" s="2">
        <v>14</v>
      </c>
      <c r="C22" s="4" t="s">
        <v>277</v>
      </c>
      <c r="D22" s="2" t="s">
        <v>278</v>
      </c>
      <c r="E22" s="2" t="s">
        <v>279</v>
      </c>
      <c r="F22" s="2" t="s">
        <v>280</v>
      </c>
      <c r="G22" s="34" t="s">
        <v>281</v>
      </c>
      <c r="H22" s="2" t="s">
        <v>282</v>
      </c>
      <c r="I22" s="2" t="s">
        <v>283</v>
      </c>
      <c r="J22" s="33"/>
    </row>
    <row r="23" spans="2:10" x14ac:dyDescent="0.3">
      <c r="B23" s="2">
        <v>15</v>
      </c>
      <c r="C23" s="4" t="s">
        <v>277</v>
      </c>
      <c r="D23" s="2" t="s">
        <v>284</v>
      </c>
      <c r="E23" s="2" t="s">
        <v>285</v>
      </c>
      <c r="F23" s="2" t="s">
        <v>286</v>
      </c>
      <c r="G23" s="34" t="s">
        <v>281</v>
      </c>
      <c r="H23" s="2" t="s">
        <v>287</v>
      </c>
      <c r="I23" s="2" t="s">
        <v>288</v>
      </c>
      <c r="J23" s="33"/>
    </row>
    <row r="24" spans="2:10" x14ac:dyDescent="0.3">
      <c r="B24" s="2">
        <v>16</v>
      </c>
      <c r="C24" s="4" t="s">
        <v>289</v>
      </c>
      <c r="D24" s="2" t="s">
        <v>290</v>
      </c>
      <c r="E24" s="2" t="s">
        <v>291</v>
      </c>
      <c r="F24" s="2" t="s">
        <v>292</v>
      </c>
      <c r="G24" s="34" t="s">
        <v>274</v>
      </c>
      <c r="H24" s="2" t="s">
        <v>294</v>
      </c>
      <c r="I24" s="2" t="s">
        <v>295</v>
      </c>
      <c r="J24" s="33">
        <v>750000</v>
      </c>
    </row>
    <row r="25" spans="2:10" x14ac:dyDescent="0.3">
      <c r="B25" s="2">
        <v>17</v>
      </c>
      <c r="C25" s="4" t="s">
        <v>277</v>
      </c>
      <c r="D25" s="2" t="s">
        <v>297</v>
      </c>
      <c r="E25" s="2" t="s">
        <v>298</v>
      </c>
      <c r="F25" s="2" t="s">
        <v>188</v>
      </c>
      <c r="G25" s="34" t="s">
        <v>274</v>
      </c>
      <c r="H25" s="2" t="s">
        <v>300</v>
      </c>
      <c r="I25" s="2" t="s">
        <v>301</v>
      </c>
      <c r="J25" s="33">
        <v>500000</v>
      </c>
    </row>
    <row r="26" spans="2:10" x14ac:dyDescent="0.3">
      <c r="B26" s="2">
        <v>18</v>
      </c>
      <c r="C26" s="4" t="s">
        <v>324</v>
      </c>
      <c r="D26" s="2" t="s">
        <v>325</v>
      </c>
      <c r="E26" s="2" t="s">
        <v>326</v>
      </c>
      <c r="F26" s="2" t="s">
        <v>327</v>
      </c>
      <c r="G26" s="34" t="s">
        <v>328</v>
      </c>
      <c r="H26" s="2" t="s">
        <v>329</v>
      </c>
      <c r="I26" s="2" t="s">
        <v>330</v>
      </c>
      <c r="J26" s="33"/>
    </row>
    <row r="27" spans="2:10" x14ac:dyDescent="0.3">
      <c r="B27" s="2">
        <v>19</v>
      </c>
      <c r="C27" s="4" t="s">
        <v>360</v>
      </c>
      <c r="D27" s="2" t="s">
        <v>361</v>
      </c>
      <c r="E27" s="2" t="s">
        <v>358</v>
      </c>
      <c r="F27" s="2" t="s">
        <v>359</v>
      </c>
      <c r="G27" s="45" t="s">
        <v>274</v>
      </c>
      <c r="H27" s="2" t="s">
        <v>362</v>
      </c>
      <c r="I27" s="2" t="s">
        <v>363</v>
      </c>
      <c r="J27" s="33">
        <v>1431819</v>
      </c>
    </row>
    <row r="28" spans="2:10" x14ac:dyDescent="0.3">
      <c r="B28" s="2"/>
      <c r="C28" s="4"/>
      <c r="D28" s="2"/>
      <c r="E28" s="2"/>
      <c r="F28" s="2"/>
      <c r="G28" s="41"/>
      <c r="H28" s="2"/>
      <c r="I28" s="2"/>
      <c r="J28" s="33"/>
    </row>
    <row r="29" spans="2:10" x14ac:dyDescent="0.3">
      <c r="B29" s="2"/>
      <c r="C29" s="4"/>
      <c r="D29" s="2"/>
      <c r="E29" s="2"/>
      <c r="F29" s="2"/>
      <c r="G29" s="41"/>
      <c r="H29" s="2"/>
      <c r="I29" s="2"/>
      <c r="J29" s="33"/>
    </row>
    <row r="30" spans="2:10" x14ac:dyDescent="0.3">
      <c r="B30" s="2"/>
      <c r="C30" s="4"/>
      <c r="D30" s="2"/>
      <c r="E30" s="2"/>
      <c r="F30" s="2"/>
      <c r="G30" s="34"/>
      <c r="H30" s="2"/>
      <c r="I30" s="2"/>
      <c r="J30" s="33"/>
    </row>
    <row r="31" spans="2:10" x14ac:dyDescent="0.3">
      <c r="B31" s="2"/>
      <c r="C31" s="4"/>
      <c r="D31" s="2"/>
      <c r="E31" s="2"/>
      <c r="F31" s="2"/>
      <c r="G31" s="34"/>
      <c r="H31" s="2"/>
      <c r="I31" s="2"/>
      <c r="J31" s="33"/>
    </row>
    <row r="32" spans="2:10" ht="26.25" x14ac:dyDescent="0.3">
      <c r="B32" s="9" t="s">
        <v>11</v>
      </c>
      <c r="C32" s="7"/>
      <c r="D32" s="7"/>
      <c r="E32" s="7"/>
      <c r="F32" s="7"/>
      <c r="G32" s="7"/>
      <c r="H32" s="7"/>
      <c r="I32" s="7"/>
      <c r="J32" s="8"/>
    </row>
    <row r="33" spans="2:16" x14ac:dyDescent="0.3">
      <c r="B33" s="6" t="s">
        <v>12</v>
      </c>
      <c r="C33" s="6" t="s">
        <v>3</v>
      </c>
      <c r="D33" s="6" t="s">
        <v>4</v>
      </c>
      <c r="E33" s="6" t="s">
        <v>5</v>
      </c>
      <c r="F33" s="6" t="s">
        <v>13</v>
      </c>
      <c r="G33" s="6" t="s">
        <v>176</v>
      </c>
      <c r="H33" s="6" t="s">
        <v>14</v>
      </c>
      <c r="I33" s="6" t="s">
        <v>8</v>
      </c>
      <c r="J33" s="6" t="s">
        <v>9</v>
      </c>
    </row>
    <row r="34" spans="2:16" x14ac:dyDescent="0.3">
      <c r="B34" s="2">
        <v>1</v>
      </c>
      <c r="C34" s="2" t="s">
        <v>74</v>
      </c>
      <c r="D34" s="2" t="s">
        <v>184</v>
      </c>
      <c r="E34" s="2" t="s">
        <v>76</v>
      </c>
      <c r="F34" s="2" t="s">
        <v>77</v>
      </c>
      <c r="G34" s="12" t="s">
        <v>78</v>
      </c>
      <c r="H34" s="12" t="s">
        <v>259</v>
      </c>
      <c r="I34" s="2" t="s">
        <v>80</v>
      </c>
      <c r="J34" s="2" t="s">
        <v>81</v>
      </c>
    </row>
    <row r="35" spans="2:16" x14ac:dyDescent="0.3">
      <c r="B35" s="2">
        <v>2</v>
      </c>
      <c r="C35" s="2" t="s">
        <v>87</v>
      </c>
      <c r="D35" s="2" t="s">
        <v>182</v>
      </c>
      <c r="E35" s="2" t="s">
        <v>88</v>
      </c>
      <c r="F35" s="2" t="s">
        <v>89</v>
      </c>
      <c r="G35" s="12" t="s">
        <v>78</v>
      </c>
      <c r="H35" s="12" t="s">
        <v>258</v>
      </c>
      <c r="I35" s="2" t="s">
        <v>90</v>
      </c>
      <c r="J35" s="2" t="s">
        <v>91</v>
      </c>
      <c r="K35" s="16"/>
      <c r="L35" s="16"/>
      <c r="O35" s="16"/>
      <c r="P35" s="16"/>
    </row>
    <row r="36" spans="2:16" x14ac:dyDescent="0.3">
      <c r="B36" s="22"/>
      <c r="C36" s="26" t="s">
        <v>97</v>
      </c>
      <c r="D36" s="27" t="s">
        <v>332</v>
      </c>
      <c r="E36" s="27" t="s">
        <v>333</v>
      </c>
      <c r="F36" s="27" t="s">
        <v>99</v>
      </c>
      <c r="G36" s="27" t="s">
        <v>100</v>
      </c>
      <c r="H36" s="27" t="s">
        <v>334</v>
      </c>
      <c r="I36" s="27" t="s">
        <v>67</v>
      </c>
      <c r="J36" s="27" t="s">
        <v>101</v>
      </c>
      <c r="K36" s="40" t="s">
        <v>335</v>
      </c>
      <c r="L36" s="16"/>
      <c r="O36" s="16"/>
      <c r="P36" s="16"/>
    </row>
    <row r="37" spans="2:16" x14ac:dyDescent="0.3">
      <c r="B37" s="2">
        <v>3</v>
      </c>
      <c r="C37" s="2" t="s">
        <v>261</v>
      </c>
      <c r="D37" s="2" t="s">
        <v>41</v>
      </c>
      <c r="E37" s="2" t="s">
        <v>106</v>
      </c>
      <c r="F37" s="2" t="s">
        <v>27</v>
      </c>
      <c r="G37" s="12" t="s">
        <v>100</v>
      </c>
      <c r="H37" s="12" t="s">
        <v>189</v>
      </c>
      <c r="I37" s="2" t="s">
        <v>107</v>
      </c>
      <c r="J37" s="2" t="s">
        <v>49</v>
      </c>
      <c r="K37" s="16"/>
      <c r="L37" s="16"/>
      <c r="O37" s="16"/>
      <c r="P37" s="16"/>
    </row>
    <row r="38" spans="2:16" x14ac:dyDescent="0.3">
      <c r="B38" s="2">
        <v>4</v>
      </c>
      <c r="C38" s="2" t="s">
        <v>262</v>
      </c>
      <c r="D38" s="2" t="s">
        <v>263</v>
      </c>
      <c r="E38" s="2" t="s">
        <v>264</v>
      </c>
      <c r="F38" s="2" t="s">
        <v>27</v>
      </c>
      <c r="G38" s="12" t="s">
        <v>100</v>
      </c>
      <c r="H38" s="12" t="s">
        <v>189</v>
      </c>
      <c r="I38" s="2" t="s">
        <v>107</v>
      </c>
      <c r="J38" s="2" t="s">
        <v>265</v>
      </c>
      <c r="K38" s="16"/>
      <c r="L38" s="16"/>
      <c r="O38" s="16"/>
      <c r="P38" s="16"/>
    </row>
    <row r="39" spans="2:16" x14ac:dyDescent="0.3">
      <c r="B39" s="2">
        <v>5</v>
      </c>
      <c r="C39" s="2" t="s">
        <v>108</v>
      </c>
      <c r="D39" s="2" t="s">
        <v>182</v>
      </c>
      <c r="E39" s="2" t="s">
        <v>109</v>
      </c>
      <c r="F39" s="2" t="s">
        <v>27</v>
      </c>
      <c r="G39" s="12" t="s">
        <v>100</v>
      </c>
      <c r="H39" s="12" t="s">
        <v>110</v>
      </c>
      <c r="I39" s="2" t="s">
        <v>111</v>
      </c>
      <c r="J39" s="2" t="s">
        <v>112</v>
      </c>
      <c r="K39" s="16"/>
      <c r="L39" s="16"/>
      <c r="O39" s="16"/>
      <c r="P39" s="16"/>
    </row>
    <row r="40" spans="2:16" x14ac:dyDescent="0.3">
      <c r="B40" s="2">
        <v>6</v>
      </c>
      <c r="C40" s="2" t="s">
        <v>113</v>
      </c>
      <c r="D40" s="2" t="s">
        <v>182</v>
      </c>
      <c r="E40" s="2" t="s">
        <v>114</v>
      </c>
      <c r="F40" s="2" t="s">
        <v>99</v>
      </c>
      <c r="G40" s="12" t="s">
        <v>100</v>
      </c>
      <c r="H40" s="12" t="s">
        <v>258</v>
      </c>
      <c r="I40" s="2" t="s">
        <v>115</v>
      </c>
      <c r="J40" s="2" t="s">
        <v>116</v>
      </c>
      <c r="K40" s="16"/>
      <c r="L40" s="16"/>
      <c r="O40" s="16"/>
      <c r="P40" s="16"/>
    </row>
    <row r="41" spans="2:16" x14ac:dyDescent="0.3">
      <c r="B41" s="2">
        <v>7</v>
      </c>
      <c r="C41" s="2" t="s">
        <v>117</v>
      </c>
      <c r="D41" s="2" t="s">
        <v>103</v>
      </c>
      <c r="E41" s="2" t="s">
        <v>118</v>
      </c>
      <c r="F41" s="2" t="s">
        <v>27</v>
      </c>
      <c r="G41" s="12" t="s">
        <v>119</v>
      </c>
      <c r="H41" s="12" t="s">
        <v>110</v>
      </c>
      <c r="I41" s="2" t="s">
        <v>120</v>
      </c>
      <c r="J41" s="2" t="s">
        <v>121</v>
      </c>
      <c r="K41" s="16"/>
      <c r="L41" s="16"/>
      <c r="O41" s="16"/>
      <c r="P41" s="16"/>
    </row>
    <row r="42" spans="2:16" x14ac:dyDescent="0.3">
      <c r="B42" s="2">
        <v>8</v>
      </c>
      <c r="C42" s="2" t="s">
        <v>134</v>
      </c>
      <c r="D42" s="2" t="s">
        <v>103</v>
      </c>
      <c r="E42" s="2" t="s">
        <v>135</v>
      </c>
      <c r="F42" s="2" t="s">
        <v>27</v>
      </c>
      <c r="G42" s="12" t="s">
        <v>79</v>
      </c>
      <c r="H42" s="12" t="s">
        <v>136</v>
      </c>
      <c r="I42" s="2" t="s">
        <v>137</v>
      </c>
      <c r="J42" s="2" t="s">
        <v>138</v>
      </c>
      <c r="K42" s="16"/>
      <c r="L42" s="16"/>
      <c r="O42" s="16"/>
      <c r="P42" s="16"/>
    </row>
    <row r="43" spans="2:16" x14ac:dyDescent="0.3">
      <c r="B43" s="2">
        <v>9</v>
      </c>
      <c r="C43" s="2" t="s">
        <v>63</v>
      </c>
      <c r="D43" s="2" t="s">
        <v>64</v>
      </c>
      <c r="E43" s="2" t="s">
        <v>139</v>
      </c>
      <c r="F43" s="2" t="s">
        <v>27</v>
      </c>
      <c r="G43" s="12" t="s">
        <v>79</v>
      </c>
      <c r="H43" s="12" t="s">
        <v>110</v>
      </c>
      <c r="I43" s="2" t="s">
        <v>140</v>
      </c>
      <c r="J43" s="2" t="s">
        <v>141</v>
      </c>
      <c r="K43" s="16"/>
      <c r="L43" s="16"/>
      <c r="M43" s="16"/>
      <c r="N43" s="16"/>
      <c r="O43" s="16"/>
      <c r="P43" s="16"/>
    </row>
    <row r="44" spans="2:16" x14ac:dyDescent="0.3">
      <c r="B44" s="2">
        <v>10</v>
      </c>
      <c r="C44" s="2" t="s">
        <v>145</v>
      </c>
      <c r="D44" s="2" t="s">
        <v>59</v>
      </c>
      <c r="E44" s="2" t="s">
        <v>146</v>
      </c>
      <c r="F44" s="2" t="s">
        <v>27</v>
      </c>
      <c r="G44" s="12" t="s">
        <v>79</v>
      </c>
      <c r="H44" s="12" t="s">
        <v>136</v>
      </c>
      <c r="I44" s="2" t="s">
        <v>147</v>
      </c>
      <c r="J44" s="2" t="s">
        <v>148</v>
      </c>
      <c r="K44" s="16"/>
      <c r="L44" s="16"/>
      <c r="M44" s="16"/>
      <c r="N44" s="16"/>
      <c r="O44" s="16"/>
      <c r="P44" s="16"/>
    </row>
    <row r="45" spans="2:16" x14ac:dyDescent="0.3">
      <c r="B45" s="2">
        <v>11</v>
      </c>
      <c r="C45" s="2" t="s">
        <v>31</v>
      </c>
      <c r="D45" s="2" t="s">
        <v>64</v>
      </c>
      <c r="E45" s="2" t="s">
        <v>149</v>
      </c>
      <c r="F45" s="2" t="s">
        <v>150</v>
      </c>
      <c r="G45" s="12" t="s">
        <v>79</v>
      </c>
      <c r="H45" s="12" t="s">
        <v>136</v>
      </c>
      <c r="I45" s="2" t="s">
        <v>151</v>
      </c>
      <c r="J45" s="2" t="s">
        <v>152</v>
      </c>
    </row>
    <row r="46" spans="2:16" x14ac:dyDescent="0.3">
      <c r="B46" s="2">
        <v>12</v>
      </c>
      <c r="C46" s="2" t="s">
        <v>40</v>
      </c>
      <c r="D46" s="2" t="s">
        <v>32</v>
      </c>
      <c r="E46" s="2" t="s">
        <v>156</v>
      </c>
      <c r="F46" s="2" t="s">
        <v>27</v>
      </c>
      <c r="G46" s="12" t="s">
        <v>79</v>
      </c>
      <c r="H46" s="12" t="s">
        <v>110</v>
      </c>
      <c r="I46" s="2" t="s">
        <v>157</v>
      </c>
      <c r="J46" s="2" t="s">
        <v>158</v>
      </c>
    </row>
    <row r="47" spans="2:16" x14ac:dyDescent="0.3">
      <c r="B47" s="2">
        <v>13</v>
      </c>
      <c r="C47" s="2" t="s">
        <v>159</v>
      </c>
      <c r="D47" s="2" t="s">
        <v>103</v>
      </c>
      <c r="E47" s="2" t="s">
        <v>160</v>
      </c>
      <c r="F47" s="2" t="s">
        <v>27</v>
      </c>
      <c r="G47" s="12" t="s">
        <v>79</v>
      </c>
      <c r="H47" s="12" t="s">
        <v>110</v>
      </c>
      <c r="I47" s="2" t="s">
        <v>161</v>
      </c>
      <c r="J47" s="2" t="s">
        <v>162</v>
      </c>
    </row>
    <row r="48" spans="2:16" x14ac:dyDescent="0.3">
      <c r="B48" s="2">
        <v>14</v>
      </c>
      <c r="C48" s="2" t="s">
        <v>46</v>
      </c>
      <c r="D48" s="2" t="s">
        <v>103</v>
      </c>
      <c r="E48" s="2" t="s">
        <v>163</v>
      </c>
      <c r="F48" s="2" t="s">
        <v>99</v>
      </c>
      <c r="G48" s="12" t="s">
        <v>79</v>
      </c>
      <c r="H48" s="12" t="s">
        <v>136</v>
      </c>
      <c r="I48" s="2" t="s">
        <v>80</v>
      </c>
      <c r="J48" s="2" t="s">
        <v>164</v>
      </c>
    </row>
    <row r="49" spans="2:10" x14ac:dyDescent="0.3">
      <c r="B49" s="2">
        <v>15</v>
      </c>
      <c r="C49" s="2" t="s">
        <v>165</v>
      </c>
      <c r="D49" s="2" t="s">
        <v>64</v>
      </c>
      <c r="E49" s="2" t="s">
        <v>166</v>
      </c>
      <c r="F49" s="2" t="s">
        <v>99</v>
      </c>
      <c r="G49" s="12" t="s">
        <v>79</v>
      </c>
      <c r="H49" s="12" t="s">
        <v>189</v>
      </c>
      <c r="I49" s="2" t="s">
        <v>167</v>
      </c>
      <c r="J49" s="2" t="s">
        <v>223</v>
      </c>
    </row>
    <row r="50" spans="2:10" x14ac:dyDescent="0.3">
      <c r="B50" s="2">
        <v>16</v>
      </c>
      <c r="C50" s="2" t="s">
        <v>165</v>
      </c>
      <c r="D50" s="2" t="s">
        <v>41</v>
      </c>
      <c r="E50" s="2" t="s">
        <v>169</v>
      </c>
      <c r="F50" s="2" t="s">
        <v>77</v>
      </c>
      <c r="G50" s="12" t="s">
        <v>79</v>
      </c>
      <c r="H50" s="12" t="s">
        <v>170</v>
      </c>
      <c r="I50" s="2" t="s">
        <v>48</v>
      </c>
      <c r="J50" s="2" t="s">
        <v>171</v>
      </c>
    </row>
    <row r="51" spans="2:10" x14ac:dyDescent="0.3">
      <c r="B51" s="2">
        <v>17</v>
      </c>
      <c r="C51" s="2" t="s">
        <v>173</v>
      </c>
      <c r="D51" s="2" t="s">
        <v>103</v>
      </c>
      <c r="E51" s="2" t="s">
        <v>174</v>
      </c>
      <c r="F51" s="2" t="s">
        <v>27</v>
      </c>
      <c r="G51" s="12" t="s">
        <v>110</v>
      </c>
      <c r="H51" s="12" t="s">
        <v>170</v>
      </c>
      <c r="I51" s="2" t="s">
        <v>80</v>
      </c>
      <c r="J51" s="2" t="s">
        <v>175</v>
      </c>
    </row>
    <row r="52" spans="2:10" x14ac:dyDescent="0.3">
      <c r="B52" s="2">
        <v>18</v>
      </c>
      <c r="C52" s="4" t="s">
        <v>173</v>
      </c>
      <c r="D52" s="2" t="s">
        <v>103</v>
      </c>
      <c r="E52" s="2" t="s">
        <v>174</v>
      </c>
      <c r="F52" s="2" t="s">
        <v>27</v>
      </c>
      <c r="G52" s="12" t="s">
        <v>110</v>
      </c>
      <c r="H52" s="12" t="s">
        <v>170</v>
      </c>
      <c r="I52" s="2" t="s">
        <v>80</v>
      </c>
      <c r="J52" s="2" t="s">
        <v>175</v>
      </c>
    </row>
    <row r="53" spans="2:10" x14ac:dyDescent="0.3">
      <c r="B53" s="2">
        <v>19</v>
      </c>
      <c r="C53" s="4" t="s">
        <v>196</v>
      </c>
      <c r="D53" s="2" t="s">
        <v>59</v>
      </c>
      <c r="E53" s="2" t="s">
        <v>219</v>
      </c>
      <c r="F53" s="2" t="s">
        <v>27</v>
      </c>
      <c r="G53" s="12" t="s">
        <v>110</v>
      </c>
      <c r="H53" s="12" t="s">
        <v>170</v>
      </c>
      <c r="I53" s="2" t="s">
        <v>221</v>
      </c>
      <c r="J53" s="2" t="s">
        <v>220</v>
      </c>
    </row>
    <row r="54" spans="2:10" x14ac:dyDescent="0.3">
      <c r="B54" s="2">
        <v>20</v>
      </c>
      <c r="C54" s="2" t="s">
        <v>165</v>
      </c>
      <c r="D54" s="2" t="s">
        <v>41</v>
      </c>
      <c r="E54" s="2" t="s">
        <v>172</v>
      </c>
      <c r="F54" s="2" t="s">
        <v>150</v>
      </c>
      <c r="G54" s="12" t="s">
        <v>110</v>
      </c>
      <c r="H54" s="12" t="s">
        <v>110</v>
      </c>
      <c r="I54" s="2" t="s">
        <v>48</v>
      </c>
      <c r="J54" s="2" t="s">
        <v>171</v>
      </c>
    </row>
    <row r="55" spans="2:10" x14ac:dyDescent="0.3">
      <c r="B55" s="2">
        <v>21</v>
      </c>
      <c r="C55" s="2" t="s">
        <v>302</v>
      </c>
      <c r="D55" s="2" t="s">
        <v>284</v>
      </c>
      <c r="E55" s="2" t="s">
        <v>303</v>
      </c>
      <c r="F55" s="2"/>
      <c r="G55" s="12" t="s">
        <v>110</v>
      </c>
      <c r="H55" s="12" t="s">
        <v>190</v>
      </c>
      <c r="I55" s="2" t="s">
        <v>304</v>
      </c>
      <c r="J55" s="2" t="s">
        <v>305</v>
      </c>
    </row>
    <row r="56" spans="2:10" x14ac:dyDescent="0.3">
      <c r="B56" s="2">
        <v>22</v>
      </c>
      <c r="C56" s="2" t="s">
        <v>311</v>
      </c>
      <c r="D56" s="2" t="s">
        <v>312</v>
      </c>
      <c r="E56" s="2" t="s">
        <v>313</v>
      </c>
      <c r="F56" s="2" t="s">
        <v>314</v>
      </c>
      <c r="G56" s="12" t="s">
        <v>317</v>
      </c>
      <c r="H56" s="12" t="s">
        <v>318</v>
      </c>
      <c r="I56" s="2" t="s">
        <v>315</v>
      </c>
      <c r="J56" s="2" t="s">
        <v>316</v>
      </c>
    </row>
    <row r="57" spans="2:10" x14ac:dyDescent="0.3">
      <c r="B57" s="2"/>
      <c r="C57" s="46" t="s">
        <v>350</v>
      </c>
      <c r="D57" s="47" t="s">
        <v>351</v>
      </c>
      <c r="E57" s="47" t="s">
        <v>352</v>
      </c>
      <c r="F57" s="47" t="s">
        <v>353</v>
      </c>
      <c r="G57" s="48" t="s">
        <v>354</v>
      </c>
      <c r="H57" s="48" t="s">
        <v>355</v>
      </c>
      <c r="I57" s="47" t="s">
        <v>356</v>
      </c>
      <c r="J57" s="47" t="s">
        <v>357</v>
      </c>
    </row>
    <row r="58" spans="2:10" x14ac:dyDescent="0.3">
      <c r="B58" s="2"/>
      <c r="C58" s="2"/>
      <c r="D58" s="2"/>
      <c r="E58" s="2"/>
      <c r="F58" s="2"/>
      <c r="G58" s="38"/>
      <c r="H58" s="38"/>
      <c r="I58" s="39"/>
      <c r="J58" s="39"/>
    </row>
    <row r="59" spans="2:10" x14ac:dyDescent="0.3">
      <c r="B59" s="2"/>
      <c r="C59" s="2"/>
      <c r="D59" s="2"/>
      <c r="E59" s="2"/>
      <c r="F59" s="2"/>
      <c r="G59" s="38"/>
      <c r="H59" s="38"/>
      <c r="I59" s="39"/>
      <c r="J59" s="39"/>
    </row>
    <row r="60" spans="2:10" x14ac:dyDescent="0.3">
      <c r="B60" s="2"/>
      <c r="C60" s="2"/>
      <c r="D60" s="2"/>
      <c r="E60" s="2"/>
      <c r="F60" s="2"/>
      <c r="G60" s="38"/>
      <c r="H60" s="38"/>
      <c r="I60" s="39"/>
      <c r="J60" s="39"/>
    </row>
    <row r="61" spans="2:10" x14ac:dyDescent="0.3">
      <c r="B61" s="2"/>
      <c r="C61" s="2"/>
      <c r="D61" s="2"/>
      <c r="E61" s="2"/>
      <c r="F61" s="2"/>
      <c r="G61" s="38"/>
      <c r="H61" s="38"/>
      <c r="I61" s="39"/>
      <c r="J61" s="39"/>
    </row>
    <row r="62" spans="2:10" x14ac:dyDescent="0.3">
      <c r="B62" s="2"/>
      <c r="C62" s="2"/>
      <c r="D62" s="2"/>
      <c r="E62" s="2"/>
      <c r="F62" s="2"/>
      <c r="G62" s="38"/>
      <c r="H62" s="38"/>
      <c r="I62" s="39"/>
      <c r="J62" s="39"/>
    </row>
    <row r="63" spans="2:10" ht="20.25" x14ac:dyDescent="0.3">
      <c r="B63" s="72" t="s">
        <v>180</v>
      </c>
      <c r="C63" s="73"/>
      <c r="D63" s="73"/>
      <c r="E63" s="73"/>
      <c r="F63" s="73"/>
      <c r="G63" s="73"/>
      <c r="H63" s="73"/>
      <c r="I63" s="73"/>
      <c r="J63" s="74"/>
    </row>
  </sheetData>
  <autoFilter ref="B33:J57">
    <sortState ref="B35:J57">
      <sortCondition ref="C32:C64"/>
    </sortState>
  </autoFilter>
  <customSheetViews>
    <customSheetView guid="{7A761F1B-9457-4EED-8EFC-CFF5C63E791B}" scale="85" fitToPage="1" showAutoFilter="1" topLeftCell="A19">
      <selection activeCell="M36" sqref="M36"/>
      <pageMargins left="0.7" right="0.7" top="0.75" bottom="0.75" header="0.3" footer="0.3"/>
      <pageSetup paperSize="9" scale="52" fitToHeight="0" orientation="landscape" r:id="rId1"/>
      <autoFilter ref="B33:J57">
        <sortState ref="B33:J64">
          <sortCondition ref="C32:C64"/>
        </sortState>
      </autoFilter>
    </customSheetView>
  </customSheetViews>
  <mergeCells count="8">
    <mergeCell ref="M6:N6"/>
    <mergeCell ref="B63:J63"/>
    <mergeCell ref="B2:J3"/>
    <mergeCell ref="D4:E4"/>
    <mergeCell ref="F4:H5"/>
    <mergeCell ref="I4:J5"/>
    <mergeCell ref="D5:E5"/>
    <mergeCell ref="B6:J6"/>
  </mergeCells>
  <phoneticPr fontId="1" type="noConversion"/>
  <conditionalFormatting sqref="C31:J31 C40:J40 C35:J35 B36 C43:J43 C49:G49 I49:J49 C54:J54 C46:J46 B45:J45 G55:H56">
    <cfRule type="expression" dxfId="343" priority="63">
      <formula>$C32&lt;&gt;" "</formula>
    </cfRule>
    <cfRule type="expression" dxfId="342" priority="64">
      <formula>$C$7</formula>
    </cfRule>
  </conditionalFormatting>
  <conditionalFormatting sqref="C21:E21 B33:J33 G21:J21 C42:J42 C54:J54 C46:J46 G61:H62">
    <cfRule type="expression" dxfId="341" priority="61">
      <formula>$C24&lt;&gt;" "</formula>
    </cfRule>
    <cfRule type="expression" dxfId="340" priority="62">
      <formula>$C$7</formula>
    </cfRule>
  </conditionalFormatting>
  <conditionalFormatting sqref="C22:J22 F17:F18 C37:J38 B37:B39 C44:J45 C47:J47 B54:J54 B42:B43 B46:B53 B55 G55:H55 G62:H62">
    <cfRule type="expression" dxfId="339" priority="59">
      <formula>$C19&lt;&gt;" "</formula>
    </cfRule>
    <cfRule type="expression" dxfId="338" priority="60">
      <formula>$C$7</formula>
    </cfRule>
  </conditionalFormatting>
  <conditionalFormatting sqref="C8:J8 C23:D23 G23 M9 G61:H61">
    <cfRule type="expression" dxfId="337" priority="57">
      <formula>$C16&lt;&gt;" "</formula>
    </cfRule>
    <cfRule type="expression" dxfId="336" priority="58">
      <formula>$C$7</formula>
    </cfRule>
  </conditionalFormatting>
  <conditionalFormatting sqref="B11:B14 B18 B22:B25">
    <cfRule type="expression" dxfId="335" priority="55">
      <formula>$C31&lt;&gt;" "</formula>
    </cfRule>
    <cfRule type="expression" dxfId="334" priority="56">
      <formula>$C$7</formula>
    </cfRule>
  </conditionalFormatting>
  <conditionalFormatting sqref="I19:I20 F18:I18 C18:D18 C17:J17 M9 B8:B22">
    <cfRule type="expression" dxfId="333" priority="53">
      <formula>$C22&lt;&gt;" "</formula>
    </cfRule>
    <cfRule type="expression" dxfId="332" priority="54">
      <formula>$C$7</formula>
    </cfRule>
  </conditionalFormatting>
  <conditionalFormatting sqref="C47:J49 C39:J39 C18:H18 J18 B34:J34 C11:J11 G17 B10 B15 B17 B35:B56 C13:J15 C9:J9 B24:J30">
    <cfRule type="expression" dxfId="331" priority="51">
      <formula>#REF!&lt;&gt;" "</formula>
    </cfRule>
    <cfRule type="expression" dxfId="330" priority="52">
      <formula>$C$7</formula>
    </cfRule>
  </conditionalFormatting>
  <conditionalFormatting sqref="C10:J10 C15:J16 G62:H62 G56:H58 B56">
    <cfRule type="expression" dxfId="329" priority="49">
      <formula>$C17&lt;&gt;" "</formula>
    </cfRule>
    <cfRule type="expression" dxfId="328" priority="50">
      <formula>$C$7</formula>
    </cfRule>
  </conditionalFormatting>
  <conditionalFormatting sqref="C8:J11 C19:H20 J19:J20 B24:B25">
    <cfRule type="expression" dxfId="327" priority="47">
      <formula>$C21&lt;&gt;" "</formula>
    </cfRule>
    <cfRule type="expression" dxfId="326" priority="48">
      <formula>$C$7</formula>
    </cfRule>
  </conditionalFormatting>
  <conditionalFormatting sqref="C51:J52 G60:H61">
    <cfRule type="expression" dxfId="325" priority="45">
      <formula>$C55&lt;&gt;" "</formula>
    </cfRule>
    <cfRule type="expression" dxfId="324" priority="46">
      <formula>$C$7</formula>
    </cfRule>
  </conditionalFormatting>
  <conditionalFormatting sqref="C50:J50 G59:H60">
    <cfRule type="expression" dxfId="323" priority="43">
      <formula>$C55&lt;&gt;" "</formula>
    </cfRule>
    <cfRule type="expression" dxfId="322" priority="44">
      <formula>$C$7</formula>
    </cfRule>
  </conditionalFormatting>
  <conditionalFormatting sqref="C12:J12 C50:J50 G57:H59">
    <cfRule type="expression" dxfId="321" priority="41">
      <formula>$C18&lt;&gt;" "</formula>
    </cfRule>
    <cfRule type="expression" dxfId="320" priority="42">
      <formula>$C$7</formula>
    </cfRule>
  </conditionalFormatting>
  <conditionalFormatting sqref="B8:B11">
    <cfRule type="expression" dxfId="319" priority="37">
      <formula>$C33&lt;&gt;" "</formula>
    </cfRule>
    <cfRule type="expression" dxfId="318" priority="38">
      <formula>$C$7</formula>
    </cfRule>
  </conditionalFormatting>
  <conditionalFormatting sqref="C14:J14 B18:B23">
    <cfRule type="expression" dxfId="317" priority="23">
      <formula>$C32&lt;&gt;" "</formula>
    </cfRule>
    <cfRule type="expression" dxfId="316" priority="24">
      <formula>$C$7</formula>
    </cfRule>
  </conditionalFormatting>
  <conditionalFormatting sqref="C23:J23">
    <cfRule type="expression" dxfId="315" priority="21">
      <formula>$B32&lt;&gt;" "</formula>
    </cfRule>
    <cfRule type="expression" dxfId="314" priority="22">
      <formula>$C$7</formula>
    </cfRule>
  </conditionalFormatting>
  <conditionalFormatting sqref="C12:J12 B8:B17">
    <cfRule type="expression" dxfId="313" priority="19">
      <formula>$C27&lt;&gt;" "</formula>
    </cfRule>
    <cfRule type="expression" dxfId="312" priority="20">
      <formula>$C$7</formula>
    </cfRule>
  </conditionalFormatting>
  <conditionalFormatting sqref="C16:J16">
    <cfRule type="expression" dxfId="311" priority="7">
      <formula>$B18&lt;&gt;" "</formula>
    </cfRule>
    <cfRule type="expression" dxfId="310" priority="8">
      <formula>$C$7</formula>
    </cfRule>
  </conditionalFormatting>
  <conditionalFormatting sqref="B11:B17">
    <cfRule type="expression" dxfId="309" priority="5">
      <formula>$C35&lt;&gt;" "</formula>
    </cfRule>
    <cfRule type="expression" dxfId="308" priority="6">
      <formula>$C$7</formula>
    </cfRule>
  </conditionalFormatting>
  <conditionalFormatting sqref="B7:J7">
    <cfRule type="expression" dxfId="307" priority="1">
      <formula>$C24&lt;&gt;" "</formula>
    </cfRule>
    <cfRule type="expression" dxfId="306" priority="2">
      <formula>$C$7</formula>
    </cfRule>
  </conditionalFormatting>
  <conditionalFormatting sqref="B41 C36:J36">
    <cfRule type="expression" dxfId="305" priority="79">
      <formula>#REF!&lt;&gt;" "</formula>
    </cfRule>
    <cfRule type="expression" dxfId="304" priority="80">
      <formula>$C$7</formula>
    </cfRule>
  </conditionalFormatting>
  <conditionalFormatting sqref="B44:J44 C41:J41 B40 B35">
    <cfRule type="expression" dxfId="303" priority="117">
      <formula>#REF!&lt;&gt;" "</formula>
    </cfRule>
    <cfRule type="expression" dxfId="302" priority="118">
      <formula>$C$7</formula>
    </cfRule>
  </conditionalFormatting>
  <conditionalFormatting sqref="B17">
    <cfRule type="expression" dxfId="301" priority="129">
      <formula>#REF!&lt;&gt;" "</formula>
    </cfRule>
    <cfRule type="expression" dxfId="300" priority="130">
      <formula>$C$7</formula>
    </cfRule>
  </conditionalFormatting>
  <conditionalFormatting sqref="B23">
    <cfRule type="expression" dxfId="299" priority="135">
      <formula>#REF!&lt;&gt;" "</formula>
    </cfRule>
    <cfRule type="expression" dxfId="298" priority="136">
      <formula>$C$7</formula>
    </cfRule>
  </conditionalFormatting>
  <conditionalFormatting sqref="B12">
    <cfRule type="expression" dxfId="297" priority="183">
      <formula>#REF!&lt;&gt;" "</formula>
    </cfRule>
    <cfRule type="expression" dxfId="296" priority="184">
      <formula>$C$7</formula>
    </cfRule>
  </conditionalFormatting>
  <conditionalFormatting sqref="B24:B25 B19">
    <cfRule type="expression" dxfId="295" priority="191">
      <formula>#REF!&lt;&gt;" "</formula>
    </cfRule>
    <cfRule type="expression" dxfId="294" priority="192">
      <formula>$C$7</formula>
    </cfRule>
  </conditionalFormatting>
  <conditionalFormatting sqref="B18">
    <cfRule type="expression" dxfId="293" priority="197">
      <formula>#REF!&lt;&gt;" "</formula>
    </cfRule>
    <cfRule type="expression" dxfId="292" priority="198">
      <formula>$C$7</formula>
    </cfRule>
  </conditionalFormatting>
  <conditionalFormatting sqref="B18:B21 B13">
    <cfRule type="expression" dxfId="291" priority="203">
      <formula>#REF!&lt;&gt;" "</formula>
    </cfRule>
    <cfRule type="expression" dxfId="290" priority="204">
      <formula>$C$7</formula>
    </cfRule>
  </conditionalFormatting>
  <conditionalFormatting sqref="B31">
    <cfRule type="expression" dxfId="289" priority="305">
      <formula>#REF!&lt;&gt;" "</formula>
    </cfRule>
    <cfRule type="expression" dxfId="288" priority="306">
      <formula>$C$7</formula>
    </cfRule>
  </conditionalFormatting>
  <conditionalFormatting sqref="G60:H60">
    <cfRule type="expression" dxfId="287" priority="317">
      <formula>$C69&lt;&gt;" "</formula>
    </cfRule>
    <cfRule type="expression" dxfId="286" priority="318">
      <formula>$C$7</formula>
    </cfRule>
  </conditionalFormatting>
  <conditionalFormatting sqref="C53:J54 G59:H59">
    <cfRule type="expression" dxfId="285" priority="335">
      <formula>$C63&lt;&gt;" "</formula>
    </cfRule>
    <cfRule type="expression" dxfId="284" priority="336">
      <formula>$C$7</formula>
    </cfRule>
  </conditionalFormatting>
  <conditionalFormatting sqref="G55:H58">
    <cfRule type="expression" dxfId="283" priority="355">
      <formula>$C66&lt;&gt;" "</formula>
    </cfRule>
    <cfRule type="expression" dxfId="282" priority="356">
      <formula>$C$7</formula>
    </cfRule>
  </conditionalFormatting>
  <conditionalFormatting sqref="C51:J53">
    <cfRule type="expression" dxfId="281" priority="377">
      <formula>$C63&lt;&gt;" "</formula>
    </cfRule>
    <cfRule type="expression" dxfId="280" priority="378">
      <formula>$C$7</formula>
    </cfRule>
  </conditionalFormatting>
  <pageMargins left="0.7" right="0.7" top="0.75" bottom="0.75" header="0.3" footer="0.3"/>
  <pageSetup paperSize="9" scale="52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7"/>
  <sheetViews>
    <sheetView zoomScale="85" zoomScaleNormal="85" workbookViewId="0">
      <selection activeCell="K17" sqref="K17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  <col min="11" max="11" width="14.625" customWidth="1"/>
    <col min="13" max="13" width="13.875" bestFit="1" customWidth="1"/>
  </cols>
  <sheetData>
    <row r="2" spans="2:14" x14ac:dyDescent="0.3">
      <c r="B2" s="75" t="s">
        <v>270</v>
      </c>
      <c r="C2" s="76"/>
      <c r="D2" s="76"/>
      <c r="E2" s="76"/>
      <c r="F2" s="76"/>
      <c r="G2" s="76"/>
      <c r="H2" s="76"/>
      <c r="I2" s="76"/>
      <c r="J2" s="77"/>
    </row>
    <row r="3" spans="2:14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4" ht="26.25" x14ac:dyDescent="0.3">
      <c r="B4" s="10" t="s">
        <v>0</v>
      </c>
      <c r="C4" s="11"/>
      <c r="D4" s="81">
        <f>COUNT(B8:B34)</f>
        <v>18</v>
      </c>
      <c r="E4" s="82"/>
      <c r="F4" s="83" t="s">
        <v>181</v>
      </c>
      <c r="G4" s="84"/>
      <c r="H4" s="84"/>
      <c r="I4" s="87" t="s">
        <v>179</v>
      </c>
      <c r="J4" s="88"/>
    </row>
    <row r="5" spans="2:14" ht="26.25" x14ac:dyDescent="0.3">
      <c r="B5" s="10" t="s">
        <v>1</v>
      </c>
      <c r="C5" s="11"/>
      <c r="D5" s="81">
        <f>COUNT(B37:B64)</f>
        <v>22</v>
      </c>
      <c r="E5" s="82"/>
      <c r="F5" s="85"/>
      <c r="G5" s="86"/>
      <c r="H5" s="86"/>
      <c r="I5" s="89"/>
      <c r="J5" s="90"/>
    </row>
    <row r="6" spans="2:14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  <c r="M6" s="71" t="s">
        <v>235</v>
      </c>
      <c r="N6" s="71"/>
    </row>
    <row r="7" spans="2:14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M7" s="2" t="s">
        <v>227</v>
      </c>
      <c r="N7" s="15">
        <f>COUNTIF(F8:F34,"*계약만료*")</f>
        <v>7</v>
      </c>
    </row>
    <row r="8" spans="2:14" x14ac:dyDescent="0.3">
      <c r="B8" s="2"/>
      <c r="C8" s="23" t="s">
        <v>50</v>
      </c>
      <c r="D8" s="24" t="s">
        <v>16</v>
      </c>
      <c r="E8" s="24" t="s">
        <v>55</v>
      </c>
      <c r="F8" s="24" t="s">
        <v>23</v>
      </c>
      <c r="G8" s="25" t="s">
        <v>52</v>
      </c>
      <c r="H8" s="24" t="s">
        <v>56</v>
      </c>
      <c r="I8" s="24" t="s">
        <v>57</v>
      </c>
      <c r="J8" s="35"/>
      <c r="M8" s="2" t="s">
        <v>228</v>
      </c>
      <c r="N8" s="15">
        <f>COUNTIF(F4:F24,"*비용절감*")</f>
        <v>2</v>
      </c>
    </row>
    <row r="9" spans="2:14" x14ac:dyDescent="0.3">
      <c r="B9" s="2"/>
      <c r="C9" s="36" t="s">
        <v>58</v>
      </c>
      <c r="D9" s="24" t="s">
        <v>59</v>
      </c>
      <c r="E9" s="24" t="s">
        <v>60</v>
      </c>
      <c r="F9" s="24" t="s">
        <v>27</v>
      </c>
      <c r="G9" s="25" t="s">
        <v>52</v>
      </c>
      <c r="H9" s="24" t="s">
        <v>61</v>
      </c>
      <c r="I9" s="24" t="s">
        <v>62</v>
      </c>
      <c r="J9" s="35"/>
      <c r="M9" s="4" t="s">
        <v>225</v>
      </c>
      <c r="N9" s="15">
        <f>COUNTIF(F8:F34,"*사용자퇴사*")</f>
        <v>9</v>
      </c>
    </row>
    <row r="10" spans="2:14" x14ac:dyDescent="0.3">
      <c r="B10" s="2"/>
      <c r="C10" s="36" t="s">
        <v>63</v>
      </c>
      <c r="D10" s="24" t="s">
        <v>64</v>
      </c>
      <c r="E10" s="24" t="s">
        <v>65</v>
      </c>
      <c r="F10" s="24" t="s">
        <v>66</v>
      </c>
      <c r="G10" s="25" t="s">
        <v>52</v>
      </c>
      <c r="H10" s="24" t="s">
        <v>67</v>
      </c>
      <c r="I10" s="24" t="s">
        <v>68</v>
      </c>
      <c r="J10" s="35"/>
      <c r="M10" s="2" t="s">
        <v>230</v>
      </c>
      <c r="N10" s="15">
        <f>COUNTIF(F8:F34,"*조직개편*")</f>
        <v>0</v>
      </c>
    </row>
    <row r="11" spans="2:14" x14ac:dyDescent="0.3">
      <c r="B11" s="2">
        <v>1</v>
      </c>
      <c r="C11" s="4" t="s">
        <v>224</v>
      </c>
      <c r="D11" s="2" t="s">
        <v>64</v>
      </c>
      <c r="E11" s="2" t="s">
        <v>69</v>
      </c>
      <c r="F11" s="2" t="s">
        <v>66</v>
      </c>
      <c r="G11" s="21" t="s">
        <v>52</v>
      </c>
      <c r="H11" s="2" t="s">
        <v>67</v>
      </c>
      <c r="I11" s="2" t="s">
        <v>70</v>
      </c>
      <c r="J11" s="33"/>
      <c r="M11" s="2" t="s">
        <v>231</v>
      </c>
      <c r="N11" s="15">
        <f>COUNTIF(F8:F34,"*휴직/장기출장*")</f>
        <v>1</v>
      </c>
    </row>
    <row r="12" spans="2:14" x14ac:dyDescent="0.3">
      <c r="B12" s="2">
        <v>2</v>
      </c>
      <c r="C12" s="4" t="s">
        <v>40</v>
      </c>
      <c r="D12" s="2" t="s">
        <v>64</v>
      </c>
      <c r="E12" s="2" t="s">
        <v>71</v>
      </c>
      <c r="F12" s="2" t="s">
        <v>27</v>
      </c>
      <c r="G12" s="21" t="s">
        <v>52</v>
      </c>
      <c r="H12" s="2" t="s">
        <v>72</v>
      </c>
      <c r="I12" s="2" t="s">
        <v>73</v>
      </c>
      <c r="J12" s="33">
        <v>2500000</v>
      </c>
      <c r="M12" s="2" t="s">
        <v>229</v>
      </c>
      <c r="N12" s="15">
        <f>COUNTIF(F8:F35,"*합병매각*")</f>
        <v>0</v>
      </c>
    </row>
    <row r="13" spans="2:14" x14ac:dyDescent="0.3">
      <c r="B13" s="2">
        <v>3</v>
      </c>
      <c r="C13" s="4" t="s">
        <v>198</v>
      </c>
      <c r="D13" s="2" t="s">
        <v>32</v>
      </c>
      <c r="E13" s="2" t="s">
        <v>199</v>
      </c>
      <c r="F13" s="2" t="s">
        <v>27</v>
      </c>
      <c r="G13" s="21" t="s">
        <v>52</v>
      </c>
      <c r="H13" s="2" t="s">
        <v>215</v>
      </c>
      <c r="I13" s="2" t="s">
        <v>210</v>
      </c>
      <c r="J13" s="33"/>
      <c r="M13" s="2" t="s">
        <v>226</v>
      </c>
      <c r="N13" s="15">
        <f>COUNTIF(F8:F34,"*활용저조*")</f>
        <v>1</v>
      </c>
    </row>
    <row r="14" spans="2:14" x14ac:dyDescent="0.3">
      <c r="B14" s="2">
        <v>4</v>
      </c>
      <c r="C14" s="4" t="s">
        <v>196</v>
      </c>
      <c r="D14" s="2" t="s">
        <v>41</v>
      </c>
      <c r="E14" s="2" t="s">
        <v>200</v>
      </c>
      <c r="F14" s="2" t="s">
        <v>201</v>
      </c>
      <c r="G14" s="21" t="s">
        <v>52</v>
      </c>
      <c r="H14" s="2" t="s">
        <v>216</v>
      </c>
      <c r="I14" s="2" t="s">
        <v>211</v>
      </c>
      <c r="J14" s="33"/>
      <c r="M14" s="2" t="s">
        <v>232</v>
      </c>
      <c r="N14" s="15">
        <f>COUNTIF(F11:F37,"*타사대체*")</f>
        <v>0</v>
      </c>
    </row>
    <row r="15" spans="2:14" x14ac:dyDescent="0.3">
      <c r="B15" s="2">
        <v>5</v>
      </c>
      <c r="C15" s="4" t="s">
        <v>202</v>
      </c>
      <c r="D15" s="2" t="s">
        <v>41</v>
      </c>
      <c r="E15" s="2" t="s">
        <v>203</v>
      </c>
      <c r="F15" s="2" t="s">
        <v>201</v>
      </c>
      <c r="G15" s="21" t="s">
        <v>52</v>
      </c>
      <c r="H15" s="2" t="s">
        <v>53</v>
      </c>
      <c r="I15" s="2" t="s">
        <v>212</v>
      </c>
      <c r="J15" s="33"/>
      <c r="M15" s="2" t="s">
        <v>233</v>
      </c>
      <c r="N15" s="15">
        <f>COUNTIF(F12:F38,"*비용미납*")</f>
        <v>0</v>
      </c>
    </row>
    <row r="16" spans="2:14" x14ac:dyDescent="0.3">
      <c r="B16" s="2">
        <v>6</v>
      </c>
      <c r="C16" s="4" t="s">
        <v>204</v>
      </c>
      <c r="D16" s="2" t="s">
        <v>103</v>
      </c>
      <c r="E16" s="2" t="s">
        <v>205</v>
      </c>
      <c r="F16" s="2" t="s">
        <v>27</v>
      </c>
      <c r="G16" s="21" t="s">
        <v>52</v>
      </c>
      <c r="H16" s="2" t="s">
        <v>217</v>
      </c>
      <c r="I16" s="2" t="s">
        <v>213</v>
      </c>
      <c r="J16" s="33"/>
      <c r="M16" s="2" t="s">
        <v>234</v>
      </c>
      <c r="N16" s="15">
        <f>SUM(N7:N15)</f>
        <v>20</v>
      </c>
    </row>
    <row r="17" spans="2:10" x14ac:dyDescent="0.3">
      <c r="B17" s="2">
        <v>7</v>
      </c>
      <c r="C17" s="4" t="s">
        <v>206</v>
      </c>
      <c r="D17" s="2" t="s">
        <v>64</v>
      </c>
      <c r="E17" s="2" t="s">
        <v>143</v>
      </c>
      <c r="F17" s="2" t="s">
        <v>27</v>
      </c>
      <c r="G17" s="21" t="s">
        <v>52</v>
      </c>
      <c r="H17" s="2" t="s">
        <v>85</v>
      </c>
      <c r="I17" s="2" t="s">
        <v>144</v>
      </c>
      <c r="J17" s="33"/>
    </row>
    <row r="18" spans="2:10" x14ac:dyDescent="0.3">
      <c r="B18" s="2">
        <v>8</v>
      </c>
      <c r="C18" s="4" t="s">
        <v>207</v>
      </c>
      <c r="D18" s="2" t="s">
        <v>64</v>
      </c>
      <c r="E18" s="2" t="s">
        <v>208</v>
      </c>
      <c r="F18" s="2" t="s">
        <v>66</v>
      </c>
      <c r="G18" s="21" t="s">
        <v>209</v>
      </c>
      <c r="H18" s="2" t="s">
        <v>218</v>
      </c>
      <c r="I18" s="2" t="s">
        <v>214</v>
      </c>
      <c r="J18" s="33"/>
    </row>
    <row r="19" spans="2:10" x14ac:dyDescent="0.3">
      <c r="B19" s="2">
        <v>9</v>
      </c>
      <c r="C19" s="2" t="s">
        <v>207</v>
      </c>
      <c r="D19" s="2" t="s">
        <v>64</v>
      </c>
      <c r="E19" s="2" t="s">
        <v>197</v>
      </c>
      <c r="F19" s="2" t="s">
        <v>66</v>
      </c>
      <c r="G19" s="21" t="s">
        <v>209</v>
      </c>
      <c r="H19" s="2" t="s">
        <v>218</v>
      </c>
      <c r="I19" s="2" t="s">
        <v>214</v>
      </c>
      <c r="J19" s="33"/>
    </row>
    <row r="20" spans="2:10" x14ac:dyDescent="0.3">
      <c r="B20" s="2">
        <v>10</v>
      </c>
      <c r="C20" s="4" t="s">
        <v>245</v>
      </c>
      <c r="D20" s="2" t="s">
        <v>238</v>
      </c>
      <c r="E20" s="2" t="s">
        <v>242</v>
      </c>
      <c r="F20" s="2" t="s">
        <v>66</v>
      </c>
      <c r="G20" s="21" t="s">
        <v>52</v>
      </c>
      <c r="H20" s="2" t="s">
        <v>246</v>
      </c>
      <c r="I20" s="2" t="s">
        <v>243</v>
      </c>
      <c r="J20" s="33"/>
    </row>
    <row r="21" spans="2:10" x14ac:dyDescent="0.3">
      <c r="B21" s="2">
        <v>11</v>
      </c>
      <c r="C21" s="4" t="s">
        <v>245</v>
      </c>
      <c r="D21" s="2" t="s">
        <v>238</v>
      </c>
      <c r="E21" s="2" t="s">
        <v>244</v>
      </c>
      <c r="F21" s="2" t="s">
        <v>247</v>
      </c>
      <c r="G21" s="21" t="s">
        <v>52</v>
      </c>
      <c r="H21" s="2" t="s">
        <v>246</v>
      </c>
      <c r="I21" s="2" t="s">
        <v>243</v>
      </c>
      <c r="J21" s="33"/>
    </row>
    <row r="22" spans="2:10" x14ac:dyDescent="0.3">
      <c r="B22" s="2">
        <v>12</v>
      </c>
      <c r="C22" s="4" t="s">
        <v>249</v>
      </c>
      <c r="D22" s="2" t="s">
        <v>250</v>
      </c>
      <c r="E22" s="2" t="s">
        <v>251</v>
      </c>
      <c r="F22" s="2" t="s">
        <v>252</v>
      </c>
      <c r="G22" s="21" t="s">
        <v>253</v>
      </c>
      <c r="H22" s="2" t="s">
        <v>254</v>
      </c>
      <c r="I22" s="20" t="s">
        <v>255</v>
      </c>
      <c r="J22" s="33"/>
    </row>
    <row r="23" spans="2:10" x14ac:dyDescent="0.3">
      <c r="B23" s="2">
        <v>13</v>
      </c>
      <c r="C23" s="4" t="s">
        <v>249</v>
      </c>
      <c r="D23" s="2" t="s">
        <v>250</v>
      </c>
      <c r="E23" s="2" t="s">
        <v>256</v>
      </c>
      <c r="F23" s="2" t="s">
        <v>252</v>
      </c>
      <c r="G23" s="21" t="s">
        <v>253</v>
      </c>
      <c r="H23" s="2" t="s">
        <v>254</v>
      </c>
      <c r="I23" s="20" t="s">
        <v>255</v>
      </c>
      <c r="J23" s="33"/>
    </row>
    <row r="24" spans="2:10" x14ac:dyDescent="0.3">
      <c r="B24" s="2">
        <v>14</v>
      </c>
      <c r="C24" s="4" t="s">
        <v>271</v>
      </c>
      <c r="D24" s="2" t="s">
        <v>272</v>
      </c>
      <c r="E24" s="2" t="s">
        <v>273</v>
      </c>
      <c r="F24" s="2" t="s">
        <v>231</v>
      </c>
      <c r="G24" s="21" t="s">
        <v>274</v>
      </c>
      <c r="H24" s="2" t="s">
        <v>275</v>
      </c>
      <c r="I24" s="2" t="s">
        <v>276</v>
      </c>
      <c r="J24" s="33"/>
    </row>
    <row r="25" spans="2:10" x14ac:dyDescent="0.3">
      <c r="B25" s="2">
        <v>15</v>
      </c>
      <c r="C25" s="4" t="s">
        <v>277</v>
      </c>
      <c r="D25" s="2" t="s">
        <v>278</v>
      </c>
      <c r="E25" s="2" t="s">
        <v>279</v>
      </c>
      <c r="F25" s="2" t="s">
        <v>280</v>
      </c>
      <c r="G25" s="29" t="s">
        <v>281</v>
      </c>
      <c r="H25" s="2" t="s">
        <v>282</v>
      </c>
      <c r="I25" s="2" t="s">
        <v>283</v>
      </c>
      <c r="J25" s="33"/>
    </row>
    <row r="26" spans="2:10" x14ac:dyDescent="0.3">
      <c r="B26" s="2">
        <v>16</v>
      </c>
      <c r="C26" s="4" t="s">
        <v>277</v>
      </c>
      <c r="D26" s="2" t="s">
        <v>284</v>
      </c>
      <c r="E26" s="2" t="s">
        <v>285</v>
      </c>
      <c r="F26" s="2" t="s">
        <v>286</v>
      </c>
      <c r="G26" s="30" t="s">
        <v>281</v>
      </c>
      <c r="H26" s="2" t="s">
        <v>287</v>
      </c>
      <c r="I26" s="2" t="s">
        <v>288</v>
      </c>
      <c r="J26" s="33"/>
    </row>
    <row r="27" spans="2:10" x14ac:dyDescent="0.3">
      <c r="B27" s="2">
        <v>17</v>
      </c>
      <c r="C27" s="4" t="s">
        <v>289</v>
      </c>
      <c r="D27" s="2" t="s">
        <v>290</v>
      </c>
      <c r="E27" s="2" t="s">
        <v>291</v>
      </c>
      <c r="F27" s="2" t="s">
        <v>292</v>
      </c>
      <c r="G27" s="31" t="s">
        <v>293</v>
      </c>
      <c r="H27" s="2" t="s">
        <v>294</v>
      </c>
      <c r="I27" s="2" t="s">
        <v>295</v>
      </c>
      <c r="J27" s="33">
        <v>750000</v>
      </c>
    </row>
    <row r="28" spans="2:10" x14ac:dyDescent="0.3">
      <c r="B28" s="2">
        <v>18</v>
      </c>
      <c r="C28" s="4" t="s">
        <v>296</v>
      </c>
      <c r="D28" s="2" t="s">
        <v>297</v>
      </c>
      <c r="E28" s="2" t="s">
        <v>298</v>
      </c>
      <c r="F28" s="2" t="s">
        <v>299</v>
      </c>
      <c r="G28" s="32" t="s">
        <v>274</v>
      </c>
      <c r="H28" s="2" t="s">
        <v>300</v>
      </c>
      <c r="I28" s="2" t="s">
        <v>301</v>
      </c>
      <c r="J28" s="33">
        <v>500000</v>
      </c>
    </row>
    <row r="29" spans="2:10" x14ac:dyDescent="0.3">
      <c r="B29" s="2"/>
      <c r="C29" s="4"/>
      <c r="D29" s="2"/>
      <c r="E29" s="2"/>
      <c r="F29" s="2"/>
      <c r="G29" s="31"/>
      <c r="H29" s="2"/>
      <c r="I29" s="2"/>
      <c r="J29" s="33"/>
    </row>
    <row r="30" spans="2:10" x14ac:dyDescent="0.3">
      <c r="B30" s="2"/>
      <c r="C30" s="4"/>
      <c r="D30" s="2"/>
      <c r="E30" s="2"/>
      <c r="F30" s="2"/>
      <c r="G30" s="31"/>
      <c r="H30" s="2"/>
      <c r="I30" s="2"/>
      <c r="J30" s="33"/>
    </row>
    <row r="31" spans="2:10" x14ac:dyDescent="0.3">
      <c r="B31" s="2"/>
      <c r="C31" s="4"/>
      <c r="D31" s="2"/>
      <c r="E31" s="2"/>
      <c r="F31" s="2"/>
      <c r="G31" s="31"/>
      <c r="H31" s="2"/>
      <c r="I31" s="2"/>
      <c r="J31" s="33"/>
    </row>
    <row r="32" spans="2:10" x14ac:dyDescent="0.3">
      <c r="B32" s="2"/>
      <c r="C32" s="4"/>
      <c r="D32" s="2"/>
      <c r="E32" s="2"/>
      <c r="F32" s="2"/>
      <c r="G32" s="31"/>
      <c r="H32" s="2"/>
      <c r="I32" s="2"/>
      <c r="J32" s="33"/>
    </row>
    <row r="33" spans="2:16" x14ac:dyDescent="0.3">
      <c r="B33" s="2"/>
      <c r="C33" s="4"/>
      <c r="D33" s="2"/>
      <c r="E33" s="2"/>
      <c r="F33" s="2"/>
      <c r="G33" s="31"/>
      <c r="H33" s="2"/>
      <c r="I33" s="2"/>
      <c r="J33" s="33"/>
    </row>
    <row r="34" spans="2:16" x14ac:dyDescent="0.3">
      <c r="B34" s="2"/>
      <c r="C34" s="4"/>
      <c r="D34" s="2"/>
      <c r="E34" s="2"/>
      <c r="F34" s="2"/>
      <c r="G34" s="21"/>
      <c r="H34" s="2"/>
      <c r="I34" s="2"/>
      <c r="J34" s="33"/>
    </row>
    <row r="35" spans="2:16" ht="26.25" x14ac:dyDescent="0.3">
      <c r="B35" s="9" t="s">
        <v>11</v>
      </c>
      <c r="C35" s="7"/>
      <c r="D35" s="7"/>
      <c r="E35" s="7"/>
      <c r="F35" s="7"/>
      <c r="G35" s="7"/>
      <c r="H35" s="7"/>
      <c r="I35" s="7"/>
      <c r="J35" s="8"/>
      <c r="L35" s="16"/>
      <c r="O35" s="16"/>
      <c r="P35" s="16"/>
    </row>
    <row r="36" spans="2:16" x14ac:dyDescent="0.3">
      <c r="B36" s="6" t="s">
        <v>12</v>
      </c>
      <c r="C36" s="6" t="s">
        <v>3</v>
      </c>
      <c r="D36" s="6" t="s">
        <v>4</v>
      </c>
      <c r="E36" s="6" t="s">
        <v>5</v>
      </c>
      <c r="F36" s="6" t="s">
        <v>13</v>
      </c>
      <c r="G36" s="6" t="s">
        <v>176</v>
      </c>
      <c r="H36" s="6" t="s">
        <v>14</v>
      </c>
      <c r="I36" s="6" t="s">
        <v>8</v>
      </c>
      <c r="J36" s="6" t="s">
        <v>9</v>
      </c>
      <c r="L36" s="16"/>
      <c r="O36" s="16"/>
      <c r="P36" s="16"/>
    </row>
    <row r="37" spans="2:16" x14ac:dyDescent="0.3">
      <c r="B37" s="2">
        <v>1</v>
      </c>
      <c r="C37" s="2" t="s">
        <v>74</v>
      </c>
      <c r="D37" s="2" t="s">
        <v>184</v>
      </c>
      <c r="E37" s="2" t="s">
        <v>76</v>
      </c>
      <c r="F37" s="2" t="s">
        <v>77</v>
      </c>
      <c r="G37" s="12" t="s">
        <v>78</v>
      </c>
      <c r="H37" s="12" t="s">
        <v>259</v>
      </c>
      <c r="I37" s="2" t="s">
        <v>80</v>
      </c>
      <c r="J37" s="2" t="s">
        <v>81</v>
      </c>
      <c r="L37" s="16"/>
      <c r="O37" s="16"/>
      <c r="P37" s="16"/>
    </row>
    <row r="38" spans="2:16" x14ac:dyDescent="0.3">
      <c r="B38" s="2">
        <v>2</v>
      </c>
      <c r="C38" s="2" t="s">
        <v>87</v>
      </c>
      <c r="D38" s="2" t="s">
        <v>182</v>
      </c>
      <c r="E38" s="2" t="s">
        <v>88</v>
      </c>
      <c r="F38" s="2" t="s">
        <v>89</v>
      </c>
      <c r="G38" s="12" t="s">
        <v>78</v>
      </c>
      <c r="H38" s="12" t="s">
        <v>258</v>
      </c>
      <c r="I38" s="2" t="s">
        <v>90</v>
      </c>
      <c r="J38" s="2" t="s">
        <v>91</v>
      </c>
      <c r="L38" s="16"/>
      <c r="O38" s="16"/>
      <c r="P38" s="16"/>
    </row>
    <row r="39" spans="2:16" x14ac:dyDescent="0.3">
      <c r="B39" s="2">
        <v>3</v>
      </c>
      <c r="C39" s="2" t="s">
        <v>97</v>
      </c>
      <c r="D39" s="2" t="s">
        <v>183</v>
      </c>
      <c r="E39" s="2" t="s">
        <v>257</v>
      </c>
      <c r="F39" s="2" t="s">
        <v>99</v>
      </c>
      <c r="G39" s="12" t="s">
        <v>100</v>
      </c>
      <c r="H39" s="12" t="s">
        <v>189</v>
      </c>
      <c r="I39" s="2" t="s">
        <v>67</v>
      </c>
      <c r="J39" s="2" t="s">
        <v>101</v>
      </c>
      <c r="L39" s="16"/>
      <c r="O39" s="16"/>
      <c r="P39" s="16"/>
    </row>
    <row r="40" spans="2:16" x14ac:dyDescent="0.3">
      <c r="B40" s="26"/>
      <c r="C40" s="26" t="s">
        <v>102</v>
      </c>
      <c r="D40" s="27" t="s">
        <v>103</v>
      </c>
      <c r="E40" s="27" t="s">
        <v>104</v>
      </c>
      <c r="F40" s="27" t="s">
        <v>27</v>
      </c>
      <c r="G40" s="27" t="s">
        <v>100</v>
      </c>
      <c r="H40" s="27" t="s">
        <v>306</v>
      </c>
      <c r="I40" s="27" t="s">
        <v>80</v>
      </c>
      <c r="J40" s="27" t="s">
        <v>105</v>
      </c>
      <c r="K40" s="37" t="s">
        <v>307</v>
      </c>
      <c r="L40" s="16"/>
      <c r="O40" s="16"/>
      <c r="P40" s="16"/>
    </row>
    <row r="41" spans="2:16" x14ac:dyDescent="0.3">
      <c r="B41" s="2">
        <v>4</v>
      </c>
      <c r="C41" s="2" t="s">
        <v>261</v>
      </c>
      <c r="D41" s="2" t="s">
        <v>41</v>
      </c>
      <c r="E41" s="2" t="s">
        <v>106</v>
      </c>
      <c r="F41" s="2" t="s">
        <v>27</v>
      </c>
      <c r="G41" s="12" t="s">
        <v>100</v>
      </c>
      <c r="H41" s="12" t="s">
        <v>189</v>
      </c>
      <c r="I41" s="2" t="s">
        <v>107</v>
      </c>
      <c r="J41" s="2" t="s">
        <v>49</v>
      </c>
      <c r="L41" s="16"/>
      <c r="O41" s="16"/>
      <c r="P41" s="16"/>
    </row>
    <row r="42" spans="2:16" x14ac:dyDescent="0.3">
      <c r="B42" s="2">
        <v>5</v>
      </c>
      <c r="C42" s="2" t="s">
        <v>262</v>
      </c>
      <c r="D42" s="2" t="s">
        <v>263</v>
      </c>
      <c r="E42" s="2" t="s">
        <v>264</v>
      </c>
      <c r="F42" s="2" t="s">
        <v>27</v>
      </c>
      <c r="G42" s="12" t="s">
        <v>100</v>
      </c>
      <c r="H42" s="12" t="s">
        <v>189</v>
      </c>
      <c r="I42" s="2" t="s">
        <v>107</v>
      </c>
      <c r="J42" s="2" t="s">
        <v>265</v>
      </c>
      <c r="L42" s="16"/>
      <c r="O42" s="16"/>
      <c r="P42" s="16"/>
    </row>
    <row r="43" spans="2:16" x14ac:dyDescent="0.3">
      <c r="B43" s="2">
        <v>6</v>
      </c>
      <c r="C43" s="2" t="s">
        <v>108</v>
      </c>
      <c r="D43" s="2" t="s">
        <v>182</v>
      </c>
      <c r="E43" s="2" t="s">
        <v>109</v>
      </c>
      <c r="F43" s="2" t="s">
        <v>27</v>
      </c>
      <c r="G43" s="12" t="s">
        <v>100</v>
      </c>
      <c r="H43" s="12" t="s">
        <v>110</v>
      </c>
      <c r="I43" s="2" t="s">
        <v>111</v>
      </c>
      <c r="J43" s="2" t="s">
        <v>112</v>
      </c>
      <c r="L43" s="16"/>
      <c r="O43" s="16"/>
      <c r="P43" s="16"/>
    </row>
    <row r="44" spans="2:16" x14ac:dyDescent="0.3">
      <c r="B44" s="2">
        <v>7</v>
      </c>
      <c r="C44" s="2" t="s">
        <v>113</v>
      </c>
      <c r="D44" s="2" t="s">
        <v>182</v>
      </c>
      <c r="E44" s="2" t="s">
        <v>114</v>
      </c>
      <c r="F44" s="2" t="s">
        <v>99</v>
      </c>
      <c r="G44" s="12" t="s">
        <v>100</v>
      </c>
      <c r="H44" s="12" t="s">
        <v>258</v>
      </c>
      <c r="I44" s="2" t="s">
        <v>115</v>
      </c>
      <c r="J44" s="2" t="s">
        <v>116</v>
      </c>
      <c r="L44" s="16"/>
      <c r="O44" s="16"/>
      <c r="P44" s="16"/>
    </row>
    <row r="45" spans="2:16" x14ac:dyDescent="0.3">
      <c r="B45" s="2">
        <v>8</v>
      </c>
      <c r="C45" s="2" t="s">
        <v>117</v>
      </c>
      <c r="D45" s="2" t="s">
        <v>103</v>
      </c>
      <c r="E45" s="2" t="s">
        <v>118</v>
      </c>
      <c r="F45" s="2" t="s">
        <v>27</v>
      </c>
      <c r="G45" s="12" t="s">
        <v>119</v>
      </c>
      <c r="H45" s="12" t="s">
        <v>110</v>
      </c>
      <c r="I45" s="2" t="s">
        <v>120</v>
      </c>
      <c r="J45" s="2" t="s">
        <v>121</v>
      </c>
      <c r="L45" s="16"/>
      <c r="O45" s="16"/>
      <c r="P45" s="16"/>
    </row>
    <row r="46" spans="2:16" x14ac:dyDescent="0.3">
      <c r="B46" s="28"/>
      <c r="C46" s="26" t="s">
        <v>122</v>
      </c>
      <c r="D46" s="27" t="s">
        <v>103</v>
      </c>
      <c r="E46" s="27" t="s">
        <v>123</v>
      </c>
      <c r="F46" s="27" t="s">
        <v>27</v>
      </c>
      <c r="G46" s="27" t="s">
        <v>119</v>
      </c>
      <c r="H46" s="27" t="s">
        <v>110</v>
      </c>
      <c r="I46" s="27" t="s">
        <v>80</v>
      </c>
      <c r="J46" s="27" t="s">
        <v>124</v>
      </c>
      <c r="K46" s="37" t="s">
        <v>307</v>
      </c>
      <c r="L46" s="16"/>
      <c r="O46" s="16"/>
      <c r="P46" s="16"/>
    </row>
    <row r="47" spans="2:16" x14ac:dyDescent="0.3">
      <c r="B47" s="28"/>
      <c r="C47" s="27" t="s">
        <v>128</v>
      </c>
      <c r="D47" s="27" t="s">
        <v>308</v>
      </c>
      <c r="E47" s="27" t="s">
        <v>129</v>
      </c>
      <c r="F47" s="27" t="s">
        <v>99</v>
      </c>
      <c r="G47" s="27" t="s">
        <v>119</v>
      </c>
      <c r="H47" s="27" t="s">
        <v>309</v>
      </c>
      <c r="I47" s="27" t="s">
        <v>72</v>
      </c>
      <c r="J47" s="27" t="s">
        <v>130</v>
      </c>
      <c r="K47" s="37" t="s">
        <v>307</v>
      </c>
      <c r="L47" s="16"/>
      <c r="O47" s="16"/>
      <c r="P47" s="16"/>
    </row>
    <row r="48" spans="2:16" x14ac:dyDescent="0.3">
      <c r="B48" s="28"/>
      <c r="C48" s="27" t="s">
        <v>128</v>
      </c>
      <c r="D48" s="27" t="s">
        <v>308</v>
      </c>
      <c r="E48" s="27" t="s">
        <v>131</v>
      </c>
      <c r="F48" s="27" t="s">
        <v>99</v>
      </c>
      <c r="G48" s="27" t="s">
        <v>119</v>
      </c>
      <c r="H48" s="27" t="s">
        <v>309</v>
      </c>
      <c r="I48" s="27" t="s">
        <v>72</v>
      </c>
      <c r="J48" s="27" t="s">
        <v>132</v>
      </c>
      <c r="K48" s="37" t="s">
        <v>307</v>
      </c>
      <c r="L48" s="16"/>
      <c r="M48" s="16"/>
      <c r="N48" s="16"/>
      <c r="O48" s="16"/>
      <c r="P48" s="16"/>
    </row>
    <row r="49" spans="2:16" x14ac:dyDescent="0.3">
      <c r="B49" s="28"/>
      <c r="C49" s="27" t="s">
        <v>128</v>
      </c>
      <c r="D49" s="27" t="s">
        <v>308</v>
      </c>
      <c r="E49" s="27" t="s">
        <v>133</v>
      </c>
      <c r="F49" s="27" t="s">
        <v>99</v>
      </c>
      <c r="G49" s="27" t="s">
        <v>119</v>
      </c>
      <c r="H49" s="27" t="s">
        <v>309</v>
      </c>
      <c r="I49" s="27" t="s">
        <v>72</v>
      </c>
      <c r="J49" s="27" t="s">
        <v>132</v>
      </c>
      <c r="K49" s="37" t="s">
        <v>307</v>
      </c>
      <c r="L49" s="16"/>
      <c r="M49" s="16"/>
      <c r="N49" s="16"/>
      <c r="O49" s="16"/>
      <c r="P49" s="16"/>
    </row>
    <row r="50" spans="2:16" x14ac:dyDescent="0.3">
      <c r="B50" s="2">
        <v>9</v>
      </c>
      <c r="C50" s="2" t="s">
        <v>134</v>
      </c>
      <c r="D50" s="2" t="s">
        <v>103</v>
      </c>
      <c r="E50" s="2" t="s">
        <v>135</v>
      </c>
      <c r="F50" s="2" t="s">
        <v>27</v>
      </c>
      <c r="G50" s="12" t="s">
        <v>79</v>
      </c>
      <c r="H50" s="12" t="s">
        <v>136</v>
      </c>
      <c r="I50" s="2" t="s">
        <v>137</v>
      </c>
      <c r="J50" s="2" t="s">
        <v>138</v>
      </c>
    </row>
    <row r="51" spans="2:16" x14ac:dyDescent="0.3">
      <c r="B51" s="2">
        <v>10</v>
      </c>
      <c r="C51" s="2" t="s">
        <v>63</v>
      </c>
      <c r="D51" s="2" t="s">
        <v>64</v>
      </c>
      <c r="E51" s="2" t="s">
        <v>139</v>
      </c>
      <c r="F51" s="2" t="s">
        <v>27</v>
      </c>
      <c r="G51" s="12" t="s">
        <v>79</v>
      </c>
      <c r="H51" s="12" t="s">
        <v>110</v>
      </c>
      <c r="I51" s="2" t="s">
        <v>140</v>
      </c>
      <c r="J51" s="2" t="s">
        <v>141</v>
      </c>
    </row>
    <row r="52" spans="2:16" x14ac:dyDescent="0.3">
      <c r="B52" s="2">
        <v>11</v>
      </c>
      <c r="C52" s="2" t="s">
        <v>145</v>
      </c>
      <c r="D52" s="2" t="s">
        <v>59</v>
      </c>
      <c r="E52" s="2" t="s">
        <v>146</v>
      </c>
      <c r="F52" s="2" t="s">
        <v>27</v>
      </c>
      <c r="G52" s="12" t="s">
        <v>79</v>
      </c>
      <c r="H52" s="12" t="s">
        <v>136</v>
      </c>
      <c r="I52" s="2" t="s">
        <v>147</v>
      </c>
      <c r="J52" s="2" t="s">
        <v>148</v>
      </c>
    </row>
    <row r="53" spans="2:16" x14ac:dyDescent="0.3">
      <c r="B53" s="2">
        <v>12</v>
      </c>
      <c r="C53" s="2" t="s">
        <v>31</v>
      </c>
      <c r="D53" s="2" t="s">
        <v>64</v>
      </c>
      <c r="E53" s="2" t="s">
        <v>149</v>
      </c>
      <c r="F53" s="2" t="s">
        <v>150</v>
      </c>
      <c r="G53" s="12" t="s">
        <v>79</v>
      </c>
      <c r="H53" s="12" t="s">
        <v>136</v>
      </c>
      <c r="I53" s="2" t="s">
        <v>151</v>
      </c>
      <c r="J53" s="2" t="s">
        <v>152</v>
      </c>
    </row>
    <row r="54" spans="2:16" x14ac:dyDescent="0.3">
      <c r="B54" s="28"/>
      <c r="C54" s="26" t="s">
        <v>36</v>
      </c>
      <c r="D54" s="27" t="s">
        <v>103</v>
      </c>
      <c r="E54" s="27" t="s">
        <v>153</v>
      </c>
      <c r="F54" s="27" t="s">
        <v>27</v>
      </c>
      <c r="G54" s="27" t="s">
        <v>79</v>
      </c>
      <c r="H54" s="27" t="s">
        <v>136</v>
      </c>
      <c r="I54" s="27" t="s">
        <v>154</v>
      </c>
      <c r="J54" s="27" t="s">
        <v>155</v>
      </c>
      <c r="K54" s="37" t="s">
        <v>307</v>
      </c>
    </row>
    <row r="55" spans="2:16" x14ac:dyDescent="0.3">
      <c r="B55" s="2">
        <v>13</v>
      </c>
      <c r="C55" s="2" t="s">
        <v>40</v>
      </c>
      <c r="D55" s="2" t="s">
        <v>32</v>
      </c>
      <c r="E55" s="2" t="s">
        <v>156</v>
      </c>
      <c r="F55" s="2" t="s">
        <v>27</v>
      </c>
      <c r="G55" s="12" t="s">
        <v>79</v>
      </c>
      <c r="H55" s="12" t="s">
        <v>110</v>
      </c>
      <c r="I55" s="2" t="s">
        <v>157</v>
      </c>
      <c r="J55" s="2" t="s">
        <v>158</v>
      </c>
    </row>
    <row r="56" spans="2:16" x14ac:dyDescent="0.3">
      <c r="B56" s="2">
        <v>14</v>
      </c>
      <c r="C56" s="2" t="s">
        <v>159</v>
      </c>
      <c r="D56" s="2" t="s">
        <v>103</v>
      </c>
      <c r="E56" s="2" t="s">
        <v>160</v>
      </c>
      <c r="F56" s="2" t="s">
        <v>27</v>
      </c>
      <c r="G56" s="12" t="s">
        <v>79</v>
      </c>
      <c r="H56" s="12" t="s">
        <v>110</v>
      </c>
      <c r="I56" s="2" t="s">
        <v>161</v>
      </c>
      <c r="J56" s="2" t="s">
        <v>162</v>
      </c>
    </row>
    <row r="57" spans="2:16" x14ac:dyDescent="0.3">
      <c r="B57" s="2">
        <v>15</v>
      </c>
      <c r="C57" s="2" t="s">
        <v>46</v>
      </c>
      <c r="D57" s="2" t="s">
        <v>103</v>
      </c>
      <c r="E57" s="2" t="s">
        <v>163</v>
      </c>
      <c r="F57" s="2" t="s">
        <v>99</v>
      </c>
      <c r="G57" s="12" t="s">
        <v>79</v>
      </c>
      <c r="H57" s="12" t="s">
        <v>136</v>
      </c>
      <c r="I57" s="2" t="s">
        <v>80</v>
      </c>
      <c r="J57" s="2" t="s">
        <v>164</v>
      </c>
    </row>
    <row r="58" spans="2:16" x14ac:dyDescent="0.3">
      <c r="B58" s="2">
        <v>16</v>
      </c>
      <c r="C58" s="2" t="s">
        <v>165</v>
      </c>
      <c r="D58" s="2" t="s">
        <v>64</v>
      </c>
      <c r="E58" s="2" t="s">
        <v>166</v>
      </c>
      <c r="F58" s="2" t="s">
        <v>99</v>
      </c>
      <c r="G58" s="12" t="s">
        <v>79</v>
      </c>
      <c r="H58" s="12" t="s">
        <v>189</v>
      </c>
      <c r="I58" s="2" t="s">
        <v>167</v>
      </c>
      <c r="J58" s="2" t="s">
        <v>223</v>
      </c>
    </row>
    <row r="59" spans="2:16" x14ac:dyDescent="0.3">
      <c r="B59" s="2">
        <v>17</v>
      </c>
      <c r="C59" s="2" t="s">
        <v>165</v>
      </c>
      <c r="D59" s="2" t="s">
        <v>41</v>
      </c>
      <c r="E59" s="2" t="s">
        <v>169</v>
      </c>
      <c r="F59" s="2" t="s">
        <v>77</v>
      </c>
      <c r="G59" s="12" t="s">
        <v>79</v>
      </c>
      <c r="H59" s="12" t="s">
        <v>170</v>
      </c>
      <c r="I59" s="2" t="s">
        <v>48</v>
      </c>
      <c r="J59" s="2" t="s">
        <v>171</v>
      </c>
    </row>
    <row r="60" spans="2:16" x14ac:dyDescent="0.3">
      <c r="B60" s="2">
        <v>18</v>
      </c>
      <c r="C60" s="2" t="s">
        <v>173</v>
      </c>
      <c r="D60" s="2" t="s">
        <v>103</v>
      </c>
      <c r="E60" s="2" t="s">
        <v>174</v>
      </c>
      <c r="F60" s="2" t="s">
        <v>27</v>
      </c>
      <c r="G60" s="12" t="s">
        <v>110</v>
      </c>
      <c r="H60" s="12" t="s">
        <v>170</v>
      </c>
      <c r="I60" s="2" t="s">
        <v>80</v>
      </c>
      <c r="J60" s="2" t="s">
        <v>175</v>
      </c>
    </row>
    <row r="61" spans="2:16" x14ac:dyDescent="0.3">
      <c r="B61" s="2">
        <v>19</v>
      </c>
      <c r="C61" s="4" t="s">
        <v>173</v>
      </c>
      <c r="D61" s="2" t="s">
        <v>103</v>
      </c>
      <c r="E61" s="2" t="s">
        <v>174</v>
      </c>
      <c r="F61" s="2" t="s">
        <v>27</v>
      </c>
      <c r="G61" s="12" t="s">
        <v>110</v>
      </c>
      <c r="H61" s="12" t="s">
        <v>170</v>
      </c>
      <c r="I61" s="2" t="s">
        <v>80</v>
      </c>
      <c r="J61" s="2" t="s">
        <v>175</v>
      </c>
    </row>
    <row r="62" spans="2:16" x14ac:dyDescent="0.3">
      <c r="B62" s="2">
        <v>20</v>
      </c>
      <c r="C62" s="4" t="s">
        <v>196</v>
      </c>
      <c r="D62" s="2" t="s">
        <v>59</v>
      </c>
      <c r="E62" s="2" t="s">
        <v>219</v>
      </c>
      <c r="F62" s="2" t="s">
        <v>27</v>
      </c>
      <c r="G62" s="12" t="s">
        <v>110</v>
      </c>
      <c r="H62" s="12" t="s">
        <v>170</v>
      </c>
      <c r="I62" s="2" t="s">
        <v>221</v>
      </c>
      <c r="J62" s="2" t="s">
        <v>220</v>
      </c>
    </row>
    <row r="63" spans="2:16" x14ac:dyDescent="0.3">
      <c r="B63" s="2">
        <v>21</v>
      </c>
      <c r="C63" s="2" t="s">
        <v>165</v>
      </c>
      <c r="D63" s="2" t="s">
        <v>41</v>
      </c>
      <c r="E63" s="2" t="s">
        <v>172</v>
      </c>
      <c r="F63" s="2" t="s">
        <v>150</v>
      </c>
      <c r="G63" s="12" t="s">
        <v>110</v>
      </c>
      <c r="H63" s="12" t="s">
        <v>110</v>
      </c>
      <c r="I63" s="2" t="s">
        <v>48</v>
      </c>
      <c r="J63" s="2" t="s">
        <v>171</v>
      </c>
    </row>
    <row r="64" spans="2:16" x14ac:dyDescent="0.3">
      <c r="B64" s="2">
        <v>22</v>
      </c>
      <c r="C64" s="2" t="s">
        <v>302</v>
      </c>
      <c r="D64" s="2" t="s">
        <v>284</v>
      </c>
      <c r="E64" s="2" t="s">
        <v>303</v>
      </c>
      <c r="F64" s="2"/>
      <c r="G64" s="12" t="s">
        <v>110</v>
      </c>
      <c r="H64" s="12" t="s">
        <v>190</v>
      </c>
      <c r="I64" s="2" t="s">
        <v>304</v>
      </c>
      <c r="J64" s="2" t="s">
        <v>305</v>
      </c>
    </row>
    <row r="65" spans="2:10" x14ac:dyDescent="0.3">
      <c r="B65" s="2"/>
      <c r="C65" s="2"/>
      <c r="D65" s="2"/>
      <c r="E65" s="2"/>
      <c r="F65" s="2"/>
      <c r="G65" s="12"/>
      <c r="H65" s="12"/>
      <c r="I65" s="2"/>
      <c r="J65" s="2"/>
    </row>
    <row r="66" spans="2:10" x14ac:dyDescent="0.3">
      <c r="B66" s="1"/>
      <c r="C66" s="1"/>
      <c r="D66" s="1"/>
      <c r="E66" s="1"/>
      <c r="F66" s="1"/>
      <c r="G66" s="14"/>
      <c r="H66" s="14"/>
      <c r="I66" s="1"/>
      <c r="J66" s="1"/>
    </row>
    <row r="67" spans="2:10" ht="20.25" x14ac:dyDescent="0.3">
      <c r="B67" s="72" t="s">
        <v>180</v>
      </c>
      <c r="C67" s="73"/>
      <c r="D67" s="73"/>
      <c r="E67" s="73"/>
      <c r="F67" s="73"/>
      <c r="G67" s="73"/>
      <c r="H67" s="73"/>
      <c r="I67" s="73"/>
      <c r="J67" s="74"/>
    </row>
  </sheetData>
  <autoFilter ref="B36:J65">
    <sortState ref="B33:J64">
      <sortCondition ref="C32:C64"/>
    </sortState>
  </autoFilter>
  <customSheetViews>
    <customSheetView guid="{7A761F1B-9457-4EED-8EFC-CFF5C63E791B}" scale="85" fitToPage="1" showAutoFilter="1" topLeftCell="A4">
      <selection activeCell="K17" sqref="K17"/>
      <pageMargins left="0.7" right="0.7" top="0.75" bottom="0.75" header="0.3" footer="0.3"/>
      <pageSetup paperSize="9" scale="52" fitToHeight="0" orientation="landscape" r:id="rId1"/>
      <autoFilter ref="B36:J65">
        <sortState ref="B33:J64">
          <sortCondition ref="C32:C64"/>
        </sortState>
      </autoFilter>
    </customSheetView>
  </customSheetViews>
  <mergeCells count="8">
    <mergeCell ref="M6:N6"/>
    <mergeCell ref="B67:J67"/>
    <mergeCell ref="B2:J3"/>
    <mergeCell ref="D4:E4"/>
    <mergeCell ref="F4:H5"/>
    <mergeCell ref="I4:J5"/>
    <mergeCell ref="D5:E5"/>
    <mergeCell ref="B6:J6"/>
  </mergeCells>
  <phoneticPr fontId="1" type="noConversion"/>
  <conditionalFormatting sqref="C34:J34 C44:J44 C47:J47 C51:J51 C58:G58 I58:J58 B45 C38:J39 D48:D49 C63:J63 C54:J55 H48:H49 G64:H65">
    <cfRule type="expression" dxfId="279" priority="109">
      <formula>$C35&lt;&gt;" "</formula>
    </cfRule>
    <cfRule type="expression" dxfId="278" priority="110">
      <formula>$C$7</formula>
    </cfRule>
  </conditionalFormatting>
  <conditionalFormatting sqref="C8:J8 C24:E24 B36:J36 C48:G48 C46:J46 C50:J50 I48:J48 C63:J63 G24:J24 C52:J55">
    <cfRule type="expression" dxfId="277" priority="107">
      <formula>$C11&lt;&gt;" "</formula>
    </cfRule>
    <cfRule type="expression" dxfId="276" priority="108">
      <formula>$C$7</formula>
    </cfRule>
  </conditionalFormatting>
  <conditionalFormatting sqref="C9:J9 C25:J25 C45:J45 C49:G49 I49:J49 C56:J56 F20:F21 C41:J42 B63:J63 C52:J53 B38:B44 B46:B65 G64:H65">
    <cfRule type="expression" dxfId="275" priority="105">
      <formula>$C11&lt;&gt;" "</formula>
    </cfRule>
    <cfRule type="expression" dxfId="274" priority="106">
      <formula>$C$7</formula>
    </cfRule>
  </conditionalFormatting>
  <conditionalFormatting sqref="C10:J11 C26:D26 G26">
    <cfRule type="expression" dxfId="273" priority="101">
      <formula>$C18&lt;&gt;" "</formula>
    </cfRule>
    <cfRule type="expression" dxfId="272" priority="102">
      <formula>$C$7</formula>
    </cfRule>
  </conditionalFormatting>
  <conditionalFormatting sqref="B20 B14:B17 B7:J7">
    <cfRule type="expression" dxfId="271" priority="93">
      <formula>$C27&lt;&gt;" "</formula>
    </cfRule>
    <cfRule type="expression" dxfId="270" priority="94">
      <formula>$C$7</formula>
    </cfRule>
  </conditionalFormatting>
  <conditionalFormatting sqref="I22:I23 F21:I21 C21:D21 C20:J20 B8:B28">
    <cfRule type="expression" dxfId="269" priority="91">
      <formula>$C22&lt;&gt;" "</formula>
    </cfRule>
    <cfRule type="expression" dxfId="268" priority="92">
      <formula>$C$7</formula>
    </cfRule>
  </conditionalFormatting>
  <conditionalFormatting sqref="C21:H21 J21 B37:J37 B20 C27:J33 B38:B63 B65 C8:J8 C16:J16 C14:J14 G20 B13 B18">
    <cfRule type="expression" dxfId="267" priority="89">
      <formula>#REF!&lt;&gt;" "</formula>
    </cfRule>
    <cfRule type="expression" dxfId="266" priority="90">
      <formula>$C$7</formula>
    </cfRule>
  </conditionalFormatting>
  <conditionalFormatting sqref="C13:J13 C18:J19 C60:J62">
    <cfRule type="expression" dxfId="265" priority="85">
      <formula>$C20&lt;&gt;" "</formula>
    </cfRule>
    <cfRule type="expression" dxfId="264" priority="86">
      <formula>$C$7</formula>
    </cfRule>
  </conditionalFormatting>
  <conditionalFormatting sqref="C11:J14 C22:H23 J22:J23">
    <cfRule type="expression" dxfId="263" priority="83">
      <formula>$C24&lt;&gt;" "</formula>
    </cfRule>
    <cfRule type="expression" dxfId="262" priority="84">
      <formula>$C$7</formula>
    </cfRule>
  </conditionalFormatting>
  <conditionalFormatting sqref="C40:J40 C60:J61">
    <cfRule type="expression" dxfId="261" priority="81">
      <formula>$C44&lt;&gt;" "</formula>
    </cfRule>
    <cfRule type="expression" dxfId="260" priority="82">
      <formula>$C$7</formula>
    </cfRule>
  </conditionalFormatting>
  <conditionalFormatting sqref="C59:J59 C62:J63">
    <cfRule type="expression" dxfId="259" priority="73">
      <formula>$C64&lt;&gt;" "</formula>
    </cfRule>
    <cfRule type="expression" dxfId="258" priority="74">
      <formula>$C$7</formula>
    </cfRule>
  </conditionalFormatting>
  <conditionalFormatting sqref="C15:J15 C59:J59 G64:H65">
    <cfRule type="expression" dxfId="257" priority="71">
      <formula>$C21&lt;&gt;" "</formula>
    </cfRule>
    <cfRule type="expression" dxfId="256" priority="72">
      <formula>$C$7</formula>
    </cfRule>
  </conditionalFormatting>
  <conditionalFormatting sqref="B21">
    <cfRule type="expression" dxfId="255" priority="61">
      <formula>$C42&lt;&gt;" "</formula>
    </cfRule>
    <cfRule type="expression" dxfId="254" priority="62">
      <formula>$C$7</formula>
    </cfRule>
  </conditionalFormatting>
  <conditionalFormatting sqref="B9:B28">
    <cfRule type="expression" dxfId="253" priority="53">
      <formula>$C34&lt;&gt;" "</formula>
    </cfRule>
    <cfRule type="expression" dxfId="252" priority="54">
      <formula>$C$7</formula>
    </cfRule>
  </conditionalFormatting>
  <conditionalFormatting sqref="C56:J57 C43:J43">
    <cfRule type="expression" dxfId="251" priority="25">
      <formula>#REF!&lt;&gt;" "</formula>
    </cfRule>
    <cfRule type="expression" dxfId="250" priority="26">
      <formula>$C$7</formula>
    </cfRule>
  </conditionalFormatting>
  <conditionalFormatting sqref="C57:J57 B57:B58 B44 B60 B62">
    <cfRule type="expression" dxfId="249" priority="23">
      <formula>#REF!&lt;&gt;" "</formula>
    </cfRule>
    <cfRule type="expression" dxfId="248" priority="24">
      <formula>$C$7</formula>
    </cfRule>
  </conditionalFormatting>
  <conditionalFormatting sqref="C58:J58">
    <cfRule type="expression" dxfId="247" priority="21">
      <formula>#REF!&lt;&gt;" "</formula>
    </cfRule>
    <cfRule type="expression" dxfId="246" priority="22">
      <formula>$C$7</formula>
    </cfRule>
  </conditionalFormatting>
  <conditionalFormatting sqref="B20">
    <cfRule type="expression" dxfId="245" priority="167">
      <formula>#REF!&lt;&gt;" "</formula>
    </cfRule>
    <cfRule type="expression" dxfId="244" priority="168">
      <formula>$C$7</formula>
    </cfRule>
  </conditionalFormatting>
  <conditionalFormatting sqref="C9:J9 B34">
    <cfRule type="expression" dxfId="243" priority="195">
      <formula>$C21&lt;&gt;" "</formula>
    </cfRule>
    <cfRule type="expression" dxfId="242" priority="196">
      <formula>$C$7</formula>
    </cfRule>
  </conditionalFormatting>
  <conditionalFormatting sqref="B27:B33">
    <cfRule type="expression" dxfId="241" priority="315">
      <formula>#REF!&lt;&gt;" "</formula>
    </cfRule>
    <cfRule type="expression" dxfId="240" priority="316">
      <formula>$C$7</formula>
    </cfRule>
  </conditionalFormatting>
  <conditionalFormatting sqref="B21:B22 C17:J17">
    <cfRule type="expression" dxfId="239" priority="447">
      <formula>$C35&lt;&gt;" "</formula>
    </cfRule>
    <cfRule type="expression" dxfId="238" priority="448">
      <formula>$C$7</formula>
    </cfRule>
  </conditionalFormatting>
  <conditionalFormatting sqref="C26:J26">
    <cfRule type="expression" dxfId="237" priority="493">
      <formula>$B35&lt;&gt;" "</formula>
    </cfRule>
    <cfRule type="expression" dxfId="236" priority="494">
      <formula>$C$7</formula>
    </cfRule>
  </conditionalFormatting>
  <conditionalFormatting sqref="C15:J15 B8:B28">
    <cfRule type="expression" dxfId="235" priority="591">
      <formula>$C27&lt;&gt;" "</formula>
    </cfRule>
    <cfRule type="expression" dxfId="234" priority="592">
      <formula>$C$7</formula>
    </cfRule>
  </conditionalFormatting>
  <conditionalFormatting sqref="B64">
    <cfRule type="expression" dxfId="233" priority="7">
      <formula>#REF!&lt;&gt;" "</formula>
    </cfRule>
    <cfRule type="expression" dxfId="232" priority="8">
      <formula>$C$7</formula>
    </cfRule>
  </conditionalFormatting>
  <conditionalFormatting sqref="C17:J17">
    <cfRule type="expression" dxfId="231" priority="797">
      <formula>#REF!&lt;&gt;" "</formula>
    </cfRule>
    <cfRule type="expression" dxfId="230" priority="798">
      <formula>$C$7</formula>
    </cfRule>
  </conditionalFormatting>
  <conditionalFormatting sqref="C18:J18">
    <cfRule type="expression" dxfId="229" priority="813">
      <formula>#REF!&lt;&gt;" "</formula>
    </cfRule>
    <cfRule type="expression" dxfId="228" priority="814">
      <formula>$C$7</formula>
    </cfRule>
  </conditionalFormatting>
  <conditionalFormatting sqref="C12:J12">
    <cfRule type="expression" dxfId="227" priority="833">
      <formula>#REF!&lt;&gt;" "</formula>
    </cfRule>
    <cfRule type="expression" dxfId="226" priority="834">
      <formula>$C$7</formula>
    </cfRule>
  </conditionalFormatting>
  <conditionalFormatting sqref="C10:J10">
    <cfRule type="expression" dxfId="225" priority="837">
      <formula>$B25&lt;&gt;" "</formula>
    </cfRule>
    <cfRule type="expression" dxfId="224" priority="838">
      <formula>$C$7</formula>
    </cfRule>
  </conditionalFormatting>
  <conditionalFormatting sqref="C19:J19">
    <cfRule type="expression" dxfId="223" priority="861">
      <formula>$B21&lt;&gt;" "</formula>
    </cfRule>
    <cfRule type="expression" dxfId="222" priority="862">
      <formula>$C$7</formula>
    </cfRule>
  </conditionalFormatting>
  <conditionalFormatting sqref="B14:B16">
    <cfRule type="expression" dxfId="221" priority="889">
      <formula>$C38&lt;&gt;" "</formula>
    </cfRule>
    <cfRule type="expression" dxfId="220" priority="890">
      <formula>$C$7</formula>
    </cfRule>
  </conditionalFormatting>
  <conditionalFormatting sqref="M9">
    <cfRule type="expression" dxfId="219" priority="893">
      <formula>$C20&lt;&gt;" "</formula>
    </cfRule>
    <cfRule type="expression" dxfId="218" priority="894">
      <formula>$C$7</formula>
    </cfRule>
  </conditionalFormatting>
  <conditionalFormatting sqref="M9">
    <cfRule type="expression" dxfId="217" priority="901">
      <formula>$C26&lt;&gt;" "</formula>
    </cfRule>
    <cfRule type="expression" dxfId="216" priority="902">
      <formula>$C$7</formula>
    </cfRule>
  </conditionalFormatting>
  <pageMargins left="0.7" right="0.7" top="0.75" bottom="0.75" header="0.3" footer="0.3"/>
  <pageSetup paperSize="9" scale="52" fitToHeight="0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65"/>
  <sheetViews>
    <sheetView zoomScale="85" zoomScaleNormal="85" workbookViewId="0">
      <selection activeCell="L23" sqref="L23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  <col min="11" max="11" width="14.625" customWidth="1"/>
    <col min="13" max="13" width="13.875" bestFit="1" customWidth="1"/>
  </cols>
  <sheetData>
    <row r="2" spans="2:14" x14ac:dyDescent="0.3">
      <c r="B2" s="75" t="s">
        <v>267</v>
      </c>
      <c r="C2" s="76"/>
      <c r="D2" s="76"/>
      <c r="E2" s="76"/>
      <c r="F2" s="76"/>
      <c r="G2" s="76"/>
      <c r="H2" s="76"/>
      <c r="I2" s="76"/>
      <c r="J2" s="77"/>
    </row>
    <row r="3" spans="2:14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4" ht="26.25" x14ac:dyDescent="0.3">
      <c r="B4" s="10" t="s">
        <v>0</v>
      </c>
      <c r="C4" s="11"/>
      <c r="D4" s="81">
        <f>COUNT(B8:B30)</f>
        <v>17</v>
      </c>
      <c r="E4" s="82"/>
      <c r="F4" s="83" t="s">
        <v>181</v>
      </c>
      <c r="G4" s="84"/>
      <c r="H4" s="84"/>
      <c r="I4" s="87" t="s">
        <v>179</v>
      </c>
      <c r="J4" s="88"/>
    </row>
    <row r="5" spans="2:14" ht="26.25" x14ac:dyDescent="0.3">
      <c r="B5" s="10" t="s">
        <v>1</v>
      </c>
      <c r="C5" s="11"/>
      <c r="D5" s="81">
        <f>COUNT(B33:B62)</f>
        <v>23</v>
      </c>
      <c r="E5" s="82"/>
      <c r="F5" s="85"/>
      <c r="G5" s="86"/>
      <c r="H5" s="86"/>
      <c r="I5" s="89"/>
      <c r="J5" s="90"/>
    </row>
    <row r="6" spans="2:14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  <c r="M6" s="71" t="s">
        <v>235</v>
      </c>
      <c r="N6" s="71"/>
    </row>
    <row r="7" spans="2:14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M7" s="2" t="s">
        <v>227</v>
      </c>
      <c r="N7" s="15">
        <f>COUNTIF(F8:F30,"*계약만료*")</f>
        <v>6</v>
      </c>
    </row>
    <row r="8" spans="2:14" x14ac:dyDescent="0.3">
      <c r="B8" s="26"/>
      <c r="C8" s="26" t="s">
        <v>50</v>
      </c>
      <c r="D8" s="27" t="s">
        <v>41</v>
      </c>
      <c r="E8" s="27" t="s">
        <v>51</v>
      </c>
      <c r="F8" s="27" t="s">
        <v>27</v>
      </c>
      <c r="G8" s="27" t="s">
        <v>52</v>
      </c>
      <c r="H8" s="27" t="s">
        <v>53</v>
      </c>
      <c r="I8" s="27" t="s">
        <v>54</v>
      </c>
      <c r="J8" s="27"/>
      <c r="K8" s="57" t="s">
        <v>419</v>
      </c>
      <c r="M8" s="2" t="s">
        <v>228</v>
      </c>
      <c r="N8" s="15">
        <f>COUNTIF(F4:F26,"*비용절감*")</f>
        <v>2</v>
      </c>
    </row>
    <row r="9" spans="2:14" x14ac:dyDescent="0.3">
      <c r="B9" s="2">
        <v>1</v>
      </c>
      <c r="C9" s="4" t="s">
        <v>50</v>
      </c>
      <c r="D9" s="2" t="s">
        <v>16</v>
      </c>
      <c r="E9" s="2" t="s">
        <v>55</v>
      </c>
      <c r="F9" s="2" t="s">
        <v>23</v>
      </c>
      <c r="G9" s="13" t="s">
        <v>52</v>
      </c>
      <c r="H9" s="2" t="s">
        <v>56</v>
      </c>
      <c r="I9" s="2" t="s">
        <v>57</v>
      </c>
      <c r="J9" s="2"/>
      <c r="M9" s="4" t="s">
        <v>225</v>
      </c>
      <c r="N9" s="15">
        <f>COUNTIF(F8:F30,"*사용자퇴사*")</f>
        <v>9</v>
      </c>
    </row>
    <row r="10" spans="2:14" x14ac:dyDescent="0.3">
      <c r="B10" s="2">
        <v>2</v>
      </c>
      <c r="C10" s="4" t="s">
        <v>58</v>
      </c>
      <c r="D10" s="2" t="s">
        <v>59</v>
      </c>
      <c r="E10" s="2" t="s">
        <v>60</v>
      </c>
      <c r="F10" s="2" t="s">
        <v>27</v>
      </c>
      <c r="G10" s="13" t="s">
        <v>52</v>
      </c>
      <c r="H10" s="2" t="s">
        <v>61</v>
      </c>
      <c r="I10" s="2" t="s">
        <v>62</v>
      </c>
      <c r="J10" s="2"/>
      <c r="M10" s="2" t="s">
        <v>230</v>
      </c>
      <c r="N10" s="15">
        <f>COUNTIF(F8:F30,"*조직개편*")</f>
        <v>0</v>
      </c>
    </row>
    <row r="11" spans="2:14" x14ac:dyDescent="0.3">
      <c r="B11" s="2">
        <v>3</v>
      </c>
      <c r="C11" s="4" t="s">
        <v>63</v>
      </c>
      <c r="D11" s="2" t="s">
        <v>64</v>
      </c>
      <c r="E11" s="2" t="s">
        <v>65</v>
      </c>
      <c r="F11" s="2" t="s">
        <v>66</v>
      </c>
      <c r="G11" s="13" t="s">
        <v>52</v>
      </c>
      <c r="H11" s="2" t="s">
        <v>67</v>
      </c>
      <c r="I11" s="2" t="s">
        <v>68</v>
      </c>
      <c r="J11" s="2"/>
      <c r="M11" s="2" t="s">
        <v>231</v>
      </c>
      <c r="N11" s="15">
        <f>COUNTIF(F9:F31,"*휴직장기출장*")</f>
        <v>0</v>
      </c>
    </row>
    <row r="12" spans="2:14" x14ac:dyDescent="0.3">
      <c r="B12" s="2">
        <v>4</v>
      </c>
      <c r="C12" s="4" t="s">
        <v>224</v>
      </c>
      <c r="D12" s="2" t="s">
        <v>64</v>
      </c>
      <c r="E12" s="2" t="s">
        <v>69</v>
      </c>
      <c r="F12" s="2" t="s">
        <v>66</v>
      </c>
      <c r="G12" s="13" t="s">
        <v>52</v>
      </c>
      <c r="H12" s="2" t="s">
        <v>67</v>
      </c>
      <c r="I12" s="2" t="s">
        <v>70</v>
      </c>
      <c r="J12" s="2"/>
      <c r="M12" s="2" t="s">
        <v>229</v>
      </c>
      <c r="N12" s="15">
        <f>COUNTIF(F9:F31,"*합병매각*")</f>
        <v>0</v>
      </c>
    </row>
    <row r="13" spans="2:14" x14ac:dyDescent="0.3">
      <c r="B13" s="2">
        <v>5</v>
      </c>
      <c r="C13" s="4" t="s">
        <v>40</v>
      </c>
      <c r="D13" s="2" t="s">
        <v>64</v>
      </c>
      <c r="E13" s="2" t="s">
        <v>71</v>
      </c>
      <c r="F13" s="2" t="s">
        <v>27</v>
      </c>
      <c r="G13" s="13" t="s">
        <v>52</v>
      </c>
      <c r="H13" s="2" t="s">
        <v>72</v>
      </c>
      <c r="I13" s="2" t="s">
        <v>73</v>
      </c>
      <c r="J13" s="5">
        <v>2500000</v>
      </c>
      <c r="M13" s="2" t="s">
        <v>226</v>
      </c>
      <c r="N13" s="15">
        <f>COUNTIF(F8:F30,"*활용저조*")</f>
        <v>1</v>
      </c>
    </row>
    <row r="14" spans="2:14" x14ac:dyDescent="0.3">
      <c r="B14" s="2">
        <v>6</v>
      </c>
      <c r="C14" s="4" t="s">
        <v>198</v>
      </c>
      <c r="D14" s="2" t="s">
        <v>32</v>
      </c>
      <c r="E14" s="2" t="s">
        <v>199</v>
      </c>
      <c r="F14" s="2" t="s">
        <v>27</v>
      </c>
      <c r="G14" s="13" t="s">
        <v>52</v>
      </c>
      <c r="H14" s="2" t="s">
        <v>215</v>
      </c>
      <c r="I14" s="2" t="s">
        <v>210</v>
      </c>
      <c r="J14" s="2"/>
      <c r="M14" s="2" t="s">
        <v>232</v>
      </c>
      <c r="N14" s="15">
        <f>COUNTIF(F12:F34,"*타사대체*")</f>
        <v>0</v>
      </c>
    </row>
    <row r="15" spans="2:14" x14ac:dyDescent="0.3">
      <c r="B15" s="2">
        <v>7</v>
      </c>
      <c r="C15" s="4" t="s">
        <v>196</v>
      </c>
      <c r="D15" s="2" t="s">
        <v>41</v>
      </c>
      <c r="E15" s="2" t="s">
        <v>200</v>
      </c>
      <c r="F15" s="2" t="s">
        <v>201</v>
      </c>
      <c r="G15" s="13" t="s">
        <v>52</v>
      </c>
      <c r="H15" s="2" t="s">
        <v>216</v>
      </c>
      <c r="I15" s="2" t="s">
        <v>211</v>
      </c>
      <c r="J15" s="2"/>
      <c r="M15" s="2" t="s">
        <v>233</v>
      </c>
      <c r="N15" s="15">
        <f>COUNTIF(F13:F35,"*비용미납*")</f>
        <v>0</v>
      </c>
    </row>
    <row r="16" spans="2:14" x14ac:dyDescent="0.3">
      <c r="B16" s="2">
        <v>8</v>
      </c>
      <c r="C16" s="4" t="s">
        <v>202</v>
      </c>
      <c r="D16" s="2" t="s">
        <v>41</v>
      </c>
      <c r="E16" s="2" t="s">
        <v>203</v>
      </c>
      <c r="F16" s="2" t="s">
        <v>201</v>
      </c>
      <c r="G16" s="13" t="s">
        <v>52</v>
      </c>
      <c r="H16" s="2" t="s">
        <v>53</v>
      </c>
      <c r="I16" s="2" t="s">
        <v>212</v>
      </c>
      <c r="J16" s="2"/>
      <c r="M16" s="2" t="s">
        <v>234</v>
      </c>
      <c r="N16" s="15">
        <f>SUM(N7:N15)</f>
        <v>18</v>
      </c>
    </row>
    <row r="17" spans="2:16" x14ac:dyDescent="0.3">
      <c r="B17" s="2">
        <v>9</v>
      </c>
      <c r="C17" s="4" t="s">
        <v>204</v>
      </c>
      <c r="D17" s="2" t="s">
        <v>103</v>
      </c>
      <c r="E17" s="2" t="s">
        <v>205</v>
      </c>
      <c r="F17" s="2" t="s">
        <v>27</v>
      </c>
      <c r="G17" s="13" t="s">
        <v>52</v>
      </c>
      <c r="H17" s="2" t="s">
        <v>217</v>
      </c>
      <c r="I17" s="2" t="s">
        <v>213</v>
      </c>
      <c r="J17" s="5"/>
    </row>
    <row r="18" spans="2:16" x14ac:dyDescent="0.3">
      <c r="B18" s="2">
        <v>10</v>
      </c>
      <c r="C18" s="4" t="s">
        <v>206</v>
      </c>
      <c r="D18" s="2" t="s">
        <v>64</v>
      </c>
      <c r="E18" s="2" t="s">
        <v>143</v>
      </c>
      <c r="F18" s="2" t="s">
        <v>27</v>
      </c>
      <c r="G18" s="13" t="s">
        <v>52</v>
      </c>
      <c r="H18" s="2" t="s">
        <v>85</v>
      </c>
      <c r="I18" s="2" t="s">
        <v>144</v>
      </c>
      <c r="J18" s="5"/>
    </row>
    <row r="19" spans="2:16" x14ac:dyDescent="0.3">
      <c r="B19" s="2">
        <v>11</v>
      </c>
      <c r="C19" s="4" t="s">
        <v>207</v>
      </c>
      <c r="D19" s="2" t="s">
        <v>64</v>
      </c>
      <c r="E19" s="2" t="s">
        <v>208</v>
      </c>
      <c r="F19" s="2" t="s">
        <v>66</v>
      </c>
      <c r="G19" s="13" t="s">
        <v>209</v>
      </c>
      <c r="H19" s="2" t="s">
        <v>218</v>
      </c>
      <c r="I19" s="2" t="s">
        <v>214</v>
      </c>
      <c r="J19" s="5"/>
    </row>
    <row r="20" spans="2:16" x14ac:dyDescent="0.3">
      <c r="B20" s="2">
        <v>12</v>
      </c>
      <c r="C20" s="2" t="s">
        <v>207</v>
      </c>
      <c r="D20" s="2" t="s">
        <v>64</v>
      </c>
      <c r="E20" s="2" t="s">
        <v>197</v>
      </c>
      <c r="F20" s="2" t="s">
        <v>66</v>
      </c>
      <c r="G20" s="13" t="s">
        <v>209</v>
      </c>
      <c r="H20" s="2" t="s">
        <v>218</v>
      </c>
      <c r="I20" s="2" t="s">
        <v>214</v>
      </c>
      <c r="J20" s="5"/>
    </row>
    <row r="21" spans="2:16" x14ac:dyDescent="0.3">
      <c r="B21" s="2">
        <v>13</v>
      </c>
      <c r="C21" s="4" t="s">
        <v>245</v>
      </c>
      <c r="D21" s="2" t="s">
        <v>238</v>
      </c>
      <c r="E21" s="2" t="s">
        <v>237</v>
      </c>
      <c r="F21" s="2" t="s">
        <v>239</v>
      </c>
      <c r="G21" s="17" t="s">
        <v>52</v>
      </c>
      <c r="H21" s="2" t="s">
        <v>240</v>
      </c>
      <c r="I21" s="2" t="s">
        <v>241</v>
      </c>
      <c r="J21" s="5" t="s">
        <v>248</v>
      </c>
    </row>
    <row r="22" spans="2:16" x14ac:dyDescent="0.3">
      <c r="B22" s="2">
        <v>14</v>
      </c>
      <c r="C22" s="4" t="s">
        <v>245</v>
      </c>
      <c r="D22" s="2" t="s">
        <v>238</v>
      </c>
      <c r="E22" s="2" t="s">
        <v>242</v>
      </c>
      <c r="F22" s="2" t="s">
        <v>66</v>
      </c>
      <c r="G22" s="17" t="s">
        <v>52</v>
      </c>
      <c r="H22" s="2" t="s">
        <v>246</v>
      </c>
      <c r="I22" s="2" t="s">
        <v>243</v>
      </c>
      <c r="J22" s="2"/>
    </row>
    <row r="23" spans="2:16" x14ac:dyDescent="0.3">
      <c r="B23" s="2">
        <v>15</v>
      </c>
      <c r="C23" s="4" t="s">
        <v>245</v>
      </c>
      <c r="D23" s="2" t="s">
        <v>238</v>
      </c>
      <c r="E23" s="2" t="s">
        <v>244</v>
      </c>
      <c r="F23" s="2" t="s">
        <v>247</v>
      </c>
      <c r="G23" s="17" t="s">
        <v>52</v>
      </c>
      <c r="H23" s="2" t="s">
        <v>246</v>
      </c>
      <c r="I23" s="2" t="s">
        <v>243</v>
      </c>
      <c r="J23" s="2"/>
    </row>
    <row r="24" spans="2:16" x14ac:dyDescent="0.3">
      <c r="B24" s="2">
        <v>16</v>
      </c>
      <c r="C24" s="4" t="s">
        <v>249</v>
      </c>
      <c r="D24" s="2" t="s">
        <v>250</v>
      </c>
      <c r="E24" s="2" t="s">
        <v>251</v>
      </c>
      <c r="F24" s="2" t="s">
        <v>252</v>
      </c>
      <c r="G24" s="13" t="s">
        <v>253</v>
      </c>
      <c r="H24" s="2" t="s">
        <v>254</v>
      </c>
      <c r="I24" s="20" t="s">
        <v>255</v>
      </c>
      <c r="J24" s="2"/>
    </row>
    <row r="25" spans="2:16" x14ac:dyDescent="0.3">
      <c r="B25" s="2">
        <v>17</v>
      </c>
      <c r="C25" s="4" t="s">
        <v>249</v>
      </c>
      <c r="D25" s="2" t="s">
        <v>250</v>
      </c>
      <c r="E25" s="2" t="s">
        <v>256</v>
      </c>
      <c r="F25" s="2" t="s">
        <v>252</v>
      </c>
      <c r="G25" s="19" t="s">
        <v>253</v>
      </c>
      <c r="H25" s="2" t="s">
        <v>254</v>
      </c>
      <c r="I25" s="20" t="s">
        <v>255</v>
      </c>
      <c r="J25" s="2"/>
    </row>
    <row r="26" spans="2:16" x14ac:dyDescent="0.3">
      <c r="B26" s="2"/>
      <c r="C26" s="4"/>
      <c r="D26" s="2"/>
      <c r="E26" s="2"/>
      <c r="F26" s="2"/>
      <c r="G26" s="13"/>
      <c r="H26" s="2"/>
      <c r="I26" s="2"/>
      <c r="J26" s="5"/>
    </row>
    <row r="27" spans="2:16" x14ac:dyDescent="0.3">
      <c r="B27" s="2"/>
      <c r="C27" s="4"/>
      <c r="D27" s="2"/>
      <c r="E27" s="2"/>
      <c r="F27" s="2"/>
      <c r="G27" s="13"/>
      <c r="H27" s="2"/>
      <c r="I27" s="2"/>
      <c r="J27" s="5"/>
    </row>
    <row r="28" spans="2:16" x14ac:dyDescent="0.3">
      <c r="B28" s="2"/>
      <c r="C28" s="2"/>
      <c r="D28" s="2"/>
      <c r="E28" s="2"/>
      <c r="F28" s="2"/>
      <c r="G28" s="13"/>
      <c r="H28" s="2"/>
      <c r="I28" s="2"/>
      <c r="J28" s="5"/>
    </row>
    <row r="29" spans="2:16" x14ac:dyDescent="0.3">
      <c r="B29" s="2"/>
      <c r="C29" s="4"/>
      <c r="D29" s="2"/>
      <c r="E29" s="2"/>
      <c r="F29" s="2"/>
      <c r="G29" s="13"/>
      <c r="H29" s="2"/>
      <c r="I29" s="2"/>
      <c r="J29" s="2"/>
    </row>
    <row r="30" spans="2:16" x14ac:dyDescent="0.3">
      <c r="B30" s="2"/>
      <c r="C30" s="4"/>
      <c r="D30" s="2"/>
      <c r="E30" s="2"/>
      <c r="F30" s="2"/>
      <c r="G30" s="13"/>
      <c r="H30" s="2"/>
      <c r="I30" s="2"/>
      <c r="J30" s="2"/>
      <c r="L30" s="16"/>
      <c r="O30" s="16"/>
      <c r="P30" s="16"/>
    </row>
    <row r="31" spans="2:16" ht="26.25" x14ac:dyDescent="0.3">
      <c r="B31" s="9" t="s">
        <v>11</v>
      </c>
      <c r="C31" s="7"/>
      <c r="D31" s="7"/>
      <c r="E31" s="7"/>
      <c r="F31" s="7"/>
      <c r="G31" s="7"/>
      <c r="H31" s="7"/>
      <c r="I31" s="7"/>
      <c r="J31" s="8"/>
      <c r="L31" s="16"/>
      <c r="O31" s="16"/>
      <c r="P31" s="16"/>
    </row>
    <row r="32" spans="2:16" x14ac:dyDescent="0.3">
      <c r="B32" s="6" t="s">
        <v>12</v>
      </c>
      <c r="C32" s="6" t="s">
        <v>3</v>
      </c>
      <c r="D32" s="6" t="s">
        <v>4</v>
      </c>
      <c r="E32" s="6" t="s">
        <v>5</v>
      </c>
      <c r="F32" s="6" t="s">
        <v>13</v>
      </c>
      <c r="G32" s="6" t="s">
        <v>176</v>
      </c>
      <c r="H32" s="6" t="s">
        <v>14</v>
      </c>
      <c r="I32" s="6" t="s">
        <v>8</v>
      </c>
      <c r="J32" s="6" t="s">
        <v>9</v>
      </c>
      <c r="L32" s="16"/>
      <c r="O32" s="16"/>
      <c r="P32" s="16"/>
    </row>
    <row r="33" spans="2:16" x14ac:dyDescent="0.3">
      <c r="B33" s="2">
        <v>1</v>
      </c>
      <c r="C33" s="2" t="s">
        <v>74</v>
      </c>
      <c r="D33" s="2" t="s">
        <v>184</v>
      </c>
      <c r="E33" s="2" t="s">
        <v>76</v>
      </c>
      <c r="F33" s="2" t="s">
        <v>77</v>
      </c>
      <c r="G33" s="12" t="s">
        <v>78</v>
      </c>
      <c r="H33" s="12" t="s">
        <v>259</v>
      </c>
      <c r="I33" s="2" t="s">
        <v>80</v>
      </c>
      <c r="J33" s="2" t="s">
        <v>81</v>
      </c>
      <c r="L33" s="16"/>
      <c r="O33" s="16"/>
      <c r="P33" s="16"/>
    </row>
    <row r="34" spans="2:16" x14ac:dyDescent="0.3">
      <c r="B34" s="26"/>
      <c r="C34" s="26" t="s">
        <v>82</v>
      </c>
      <c r="D34" s="27" t="s">
        <v>268</v>
      </c>
      <c r="E34" s="27" t="s">
        <v>269</v>
      </c>
      <c r="F34" s="27" t="s">
        <v>27</v>
      </c>
      <c r="G34" s="27" t="s">
        <v>78</v>
      </c>
      <c r="H34" s="27" t="s">
        <v>79</v>
      </c>
      <c r="I34" s="27" t="s">
        <v>85</v>
      </c>
      <c r="J34" s="27" t="s">
        <v>86</v>
      </c>
      <c r="K34" s="18" t="s">
        <v>236</v>
      </c>
      <c r="L34" s="16"/>
      <c r="O34" s="16"/>
      <c r="P34" s="16"/>
    </row>
    <row r="35" spans="2:16" x14ac:dyDescent="0.3">
      <c r="B35" s="2">
        <v>2</v>
      </c>
      <c r="C35" s="2" t="s">
        <v>87</v>
      </c>
      <c r="D35" s="2" t="s">
        <v>182</v>
      </c>
      <c r="E35" s="2" t="s">
        <v>88</v>
      </c>
      <c r="F35" s="2" t="s">
        <v>89</v>
      </c>
      <c r="G35" s="12" t="s">
        <v>78</v>
      </c>
      <c r="H35" s="12" t="s">
        <v>258</v>
      </c>
      <c r="I35" s="2" t="s">
        <v>90</v>
      </c>
      <c r="J35" s="2" t="s">
        <v>91</v>
      </c>
      <c r="L35" s="16"/>
      <c r="O35" s="16"/>
      <c r="P35" s="16"/>
    </row>
    <row r="36" spans="2:16" x14ac:dyDescent="0.3">
      <c r="B36" s="2">
        <v>3</v>
      </c>
      <c r="C36" s="2" t="s">
        <v>97</v>
      </c>
      <c r="D36" s="2" t="s">
        <v>183</v>
      </c>
      <c r="E36" s="2" t="s">
        <v>257</v>
      </c>
      <c r="F36" s="2" t="s">
        <v>99</v>
      </c>
      <c r="G36" s="12" t="s">
        <v>100</v>
      </c>
      <c r="H36" s="12" t="s">
        <v>266</v>
      </c>
      <c r="I36" s="2" t="s">
        <v>67</v>
      </c>
      <c r="J36" s="2" t="s">
        <v>101</v>
      </c>
      <c r="L36" s="16"/>
      <c r="O36" s="16"/>
      <c r="P36" s="16"/>
    </row>
    <row r="37" spans="2:16" x14ac:dyDescent="0.3">
      <c r="B37" s="2">
        <v>4</v>
      </c>
      <c r="C37" s="2" t="s">
        <v>102</v>
      </c>
      <c r="D37" s="2" t="s">
        <v>103</v>
      </c>
      <c r="E37" s="2" t="s">
        <v>104</v>
      </c>
      <c r="F37" s="2" t="s">
        <v>27</v>
      </c>
      <c r="G37" s="12" t="s">
        <v>100</v>
      </c>
      <c r="H37" s="12" t="s">
        <v>259</v>
      </c>
      <c r="I37" s="2" t="s">
        <v>80</v>
      </c>
      <c r="J37" s="2" t="s">
        <v>105</v>
      </c>
      <c r="L37" s="16"/>
      <c r="O37" s="16"/>
      <c r="P37" s="16"/>
    </row>
    <row r="38" spans="2:16" x14ac:dyDescent="0.3">
      <c r="B38" s="2">
        <v>5</v>
      </c>
      <c r="C38" s="2" t="s">
        <v>261</v>
      </c>
      <c r="D38" s="2" t="s">
        <v>41</v>
      </c>
      <c r="E38" s="2" t="s">
        <v>106</v>
      </c>
      <c r="F38" s="2" t="s">
        <v>27</v>
      </c>
      <c r="G38" s="12" t="s">
        <v>100</v>
      </c>
      <c r="H38" s="12" t="s">
        <v>260</v>
      </c>
      <c r="I38" s="2" t="s">
        <v>107</v>
      </c>
      <c r="J38" s="2" t="s">
        <v>49</v>
      </c>
      <c r="L38" s="16"/>
      <c r="O38" s="16"/>
      <c r="P38" s="16"/>
    </row>
    <row r="39" spans="2:16" x14ac:dyDescent="0.3">
      <c r="B39" s="2">
        <v>6</v>
      </c>
      <c r="C39" s="2" t="s">
        <v>262</v>
      </c>
      <c r="D39" s="2" t="s">
        <v>263</v>
      </c>
      <c r="E39" s="2" t="s">
        <v>264</v>
      </c>
      <c r="F39" s="2" t="s">
        <v>27</v>
      </c>
      <c r="G39" s="12" t="s">
        <v>100</v>
      </c>
      <c r="H39" s="12" t="s">
        <v>260</v>
      </c>
      <c r="I39" s="2" t="s">
        <v>107</v>
      </c>
      <c r="J39" s="2" t="s">
        <v>265</v>
      </c>
      <c r="L39" s="16"/>
      <c r="O39" s="16"/>
      <c r="P39" s="16"/>
    </row>
    <row r="40" spans="2:16" x14ac:dyDescent="0.3">
      <c r="B40" s="2">
        <v>7</v>
      </c>
      <c r="C40" s="2" t="s">
        <v>108</v>
      </c>
      <c r="D40" s="2" t="s">
        <v>182</v>
      </c>
      <c r="E40" s="2" t="s">
        <v>109</v>
      </c>
      <c r="F40" s="2" t="s">
        <v>27</v>
      </c>
      <c r="G40" s="12" t="s">
        <v>100</v>
      </c>
      <c r="H40" s="12" t="s">
        <v>110</v>
      </c>
      <c r="I40" s="2" t="s">
        <v>111</v>
      </c>
      <c r="J40" s="2" t="s">
        <v>112</v>
      </c>
      <c r="L40" s="16"/>
      <c r="O40" s="16"/>
      <c r="P40" s="16"/>
    </row>
    <row r="41" spans="2:16" x14ac:dyDescent="0.3">
      <c r="B41" s="2">
        <v>8</v>
      </c>
      <c r="C41" s="2" t="s">
        <v>113</v>
      </c>
      <c r="D41" s="2" t="s">
        <v>182</v>
      </c>
      <c r="E41" s="2" t="s">
        <v>114</v>
      </c>
      <c r="F41" s="2" t="s">
        <v>99</v>
      </c>
      <c r="G41" s="12" t="s">
        <v>100</v>
      </c>
      <c r="H41" s="12" t="s">
        <v>258</v>
      </c>
      <c r="I41" s="2" t="s">
        <v>115</v>
      </c>
      <c r="J41" s="2" t="s">
        <v>116</v>
      </c>
      <c r="L41" s="16"/>
      <c r="O41" s="16"/>
      <c r="P41" s="16"/>
    </row>
    <row r="42" spans="2:16" x14ac:dyDescent="0.3">
      <c r="B42" s="2">
        <v>9</v>
      </c>
      <c r="C42" s="2" t="s">
        <v>117</v>
      </c>
      <c r="D42" s="2" t="s">
        <v>103</v>
      </c>
      <c r="E42" s="2" t="s">
        <v>118</v>
      </c>
      <c r="F42" s="2" t="s">
        <v>27</v>
      </c>
      <c r="G42" s="12" t="s">
        <v>119</v>
      </c>
      <c r="H42" s="12" t="s">
        <v>110</v>
      </c>
      <c r="I42" s="2" t="s">
        <v>120</v>
      </c>
      <c r="J42" s="2" t="s">
        <v>121</v>
      </c>
      <c r="L42" s="16"/>
      <c r="O42" s="16"/>
      <c r="P42" s="16"/>
    </row>
    <row r="43" spans="2:16" x14ac:dyDescent="0.3">
      <c r="B43" s="26"/>
      <c r="C43" s="26" t="s">
        <v>122</v>
      </c>
      <c r="D43" s="27" t="s">
        <v>32</v>
      </c>
      <c r="E43" s="27" t="s">
        <v>125</v>
      </c>
      <c r="F43" s="27" t="s">
        <v>27</v>
      </c>
      <c r="G43" s="27" t="s">
        <v>119</v>
      </c>
      <c r="H43" s="27" t="s">
        <v>79</v>
      </c>
      <c r="I43" s="27" t="s">
        <v>126</v>
      </c>
      <c r="J43" s="27" t="s">
        <v>127</v>
      </c>
      <c r="K43" s="18" t="s">
        <v>236</v>
      </c>
      <c r="L43" s="16"/>
      <c r="O43" s="16"/>
      <c r="P43" s="16"/>
    </row>
    <row r="44" spans="2:16" x14ac:dyDescent="0.3">
      <c r="B44" s="2">
        <v>10</v>
      </c>
      <c r="C44" s="2" t="s">
        <v>122</v>
      </c>
      <c r="D44" s="2" t="s">
        <v>103</v>
      </c>
      <c r="E44" s="2" t="s">
        <v>123</v>
      </c>
      <c r="F44" s="2" t="s">
        <v>27</v>
      </c>
      <c r="G44" s="12" t="s">
        <v>119</v>
      </c>
      <c r="H44" s="12" t="s">
        <v>110</v>
      </c>
      <c r="I44" s="2" t="s">
        <v>80</v>
      </c>
      <c r="J44" s="2" t="s">
        <v>124</v>
      </c>
      <c r="L44" s="16"/>
      <c r="O44" s="16"/>
      <c r="P44" s="16"/>
    </row>
    <row r="45" spans="2:16" x14ac:dyDescent="0.3">
      <c r="B45" s="2">
        <v>11</v>
      </c>
      <c r="C45" s="2" t="s">
        <v>128</v>
      </c>
      <c r="D45" s="2" t="s">
        <v>183</v>
      </c>
      <c r="E45" s="2" t="s">
        <v>129</v>
      </c>
      <c r="F45" s="2" t="s">
        <v>99</v>
      </c>
      <c r="G45" s="12" t="s">
        <v>119</v>
      </c>
      <c r="H45" s="12" t="s">
        <v>266</v>
      </c>
      <c r="I45" s="2" t="s">
        <v>72</v>
      </c>
      <c r="J45" s="2" t="s">
        <v>130</v>
      </c>
      <c r="L45" s="16"/>
      <c r="M45" s="16"/>
      <c r="N45" s="16"/>
      <c r="O45" s="16"/>
      <c r="P45" s="16"/>
    </row>
    <row r="46" spans="2:16" x14ac:dyDescent="0.3">
      <c r="B46" s="2">
        <v>12</v>
      </c>
      <c r="C46" s="2" t="s">
        <v>128</v>
      </c>
      <c r="D46" s="2" t="s">
        <v>183</v>
      </c>
      <c r="E46" s="2" t="s">
        <v>131</v>
      </c>
      <c r="F46" s="2" t="s">
        <v>99</v>
      </c>
      <c r="G46" s="12" t="s">
        <v>119</v>
      </c>
      <c r="H46" s="12" t="s">
        <v>266</v>
      </c>
      <c r="I46" s="2" t="s">
        <v>72</v>
      </c>
      <c r="J46" s="2" t="s">
        <v>132</v>
      </c>
      <c r="L46" s="16"/>
      <c r="M46" s="16"/>
      <c r="N46" s="16"/>
      <c r="O46" s="16"/>
      <c r="P46" s="16"/>
    </row>
    <row r="47" spans="2:16" x14ac:dyDescent="0.3">
      <c r="B47" s="2">
        <v>13</v>
      </c>
      <c r="C47" s="2" t="s">
        <v>128</v>
      </c>
      <c r="D47" s="2" t="s">
        <v>183</v>
      </c>
      <c r="E47" s="2" t="s">
        <v>133</v>
      </c>
      <c r="F47" s="2" t="s">
        <v>99</v>
      </c>
      <c r="G47" s="12" t="s">
        <v>119</v>
      </c>
      <c r="H47" s="12" t="s">
        <v>266</v>
      </c>
      <c r="I47" s="2" t="s">
        <v>72</v>
      </c>
      <c r="J47" s="2" t="s">
        <v>132</v>
      </c>
    </row>
    <row r="48" spans="2:16" x14ac:dyDescent="0.3">
      <c r="B48" s="2">
        <v>14</v>
      </c>
      <c r="C48" s="2" t="s">
        <v>134</v>
      </c>
      <c r="D48" s="2" t="s">
        <v>103</v>
      </c>
      <c r="E48" s="2" t="s">
        <v>135</v>
      </c>
      <c r="F48" s="2" t="s">
        <v>27</v>
      </c>
      <c r="G48" s="12" t="s">
        <v>79</v>
      </c>
      <c r="H48" s="12" t="s">
        <v>136</v>
      </c>
      <c r="I48" s="2" t="s">
        <v>137</v>
      </c>
      <c r="J48" s="2" t="s">
        <v>138</v>
      </c>
    </row>
    <row r="49" spans="2:10" x14ac:dyDescent="0.3">
      <c r="B49" s="2">
        <v>15</v>
      </c>
      <c r="C49" s="2" t="s">
        <v>63</v>
      </c>
      <c r="D49" s="2" t="s">
        <v>64</v>
      </c>
      <c r="E49" s="2" t="s">
        <v>139</v>
      </c>
      <c r="F49" s="2" t="s">
        <v>27</v>
      </c>
      <c r="G49" s="12" t="s">
        <v>79</v>
      </c>
      <c r="H49" s="12" t="s">
        <v>110</v>
      </c>
      <c r="I49" s="2" t="s">
        <v>140</v>
      </c>
      <c r="J49" s="2" t="s">
        <v>141</v>
      </c>
    </row>
    <row r="50" spans="2:10" x14ac:dyDescent="0.3">
      <c r="B50" s="2">
        <v>16</v>
      </c>
      <c r="C50" s="2" t="s">
        <v>145</v>
      </c>
      <c r="D50" s="2" t="s">
        <v>59</v>
      </c>
      <c r="E50" s="2" t="s">
        <v>146</v>
      </c>
      <c r="F50" s="2" t="s">
        <v>27</v>
      </c>
      <c r="G50" s="12" t="s">
        <v>79</v>
      </c>
      <c r="H50" s="12" t="s">
        <v>136</v>
      </c>
      <c r="I50" s="2" t="s">
        <v>147</v>
      </c>
      <c r="J50" s="2" t="s">
        <v>148</v>
      </c>
    </row>
    <row r="51" spans="2:10" x14ac:dyDescent="0.3">
      <c r="B51" s="2">
        <v>17</v>
      </c>
      <c r="C51" s="2" t="s">
        <v>31</v>
      </c>
      <c r="D51" s="2" t="s">
        <v>64</v>
      </c>
      <c r="E51" s="2" t="s">
        <v>149</v>
      </c>
      <c r="F51" s="2" t="s">
        <v>150</v>
      </c>
      <c r="G51" s="12" t="s">
        <v>79</v>
      </c>
      <c r="H51" s="12" t="s">
        <v>136</v>
      </c>
      <c r="I51" s="2" t="s">
        <v>151</v>
      </c>
      <c r="J51" s="2" t="s">
        <v>152</v>
      </c>
    </row>
    <row r="52" spans="2:10" x14ac:dyDescent="0.3">
      <c r="B52" s="2">
        <v>18</v>
      </c>
      <c r="C52" s="2" t="s">
        <v>36</v>
      </c>
      <c r="D52" s="2" t="s">
        <v>103</v>
      </c>
      <c r="E52" s="2" t="s">
        <v>153</v>
      </c>
      <c r="F52" s="2" t="s">
        <v>27</v>
      </c>
      <c r="G52" s="12" t="s">
        <v>79</v>
      </c>
      <c r="H52" s="12" t="s">
        <v>136</v>
      </c>
      <c r="I52" s="2" t="s">
        <v>154</v>
      </c>
      <c r="J52" s="2" t="s">
        <v>155</v>
      </c>
    </row>
    <row r="53" spans="2:10" x14ac:dyDescent="0.3">
      <c r="B53" s="2">
        <v>19</v>
      </c>
      <c r="C53" s="2" t="s">
        <v>40</v>
      </c>
      <c r="D53" s="2" t="s">
        <v>32</v>
      </c>
      <c r="E53" s="2" t="s">
        <v>156</v>
      </c>
      <c r="F53" s="2" t="s">
        <v>27</v>
      </c>
      <c r="G53" s="12" t="s">
        <v>79</v>
      </c>
      <c r="H53" s="12" t="s">
        <v>110</v>
      </c>
      <c r="I53" s="2" t="s">
        <v>157</v>
      </c>
      <c r="J53" s="2" t="s">
        <v>158</v>
      </c>
    </row>
    <row r="54" spans="2:10" x14ac:dyDescent="0.3">
      <c r="B54" s="2">
        <v>20</v>
      </c>
      <c r="C54" s="2" t="s">
        <v>159</v>
      </c>
      <c r="D54" s="2" t="s">
        <v>103</v>
      </c>
      <c r="E54" s="2" t="s">
        <v>160</v>
      </c>
      <c r="F54" s="2" t="s">
        <v>27</v>
      </c>
      <c r="G54" s="12" t="s">
        <v>79</v>
      </c>
      <c r="H54" s="12" t="s">
        <v>110</v>
      </c>
      <c r="I54" s="2" t="s">
        <v>161</v>
      </c>
      <c r="J54" s="2" t="s">
        <v>162</v>
      </c>
    </row>
    <row r="55" spans="2:10" x14ac:dyDescent="0.3">
      <c r="B55" s="2">
        <v>21</v>
      </c>
      <c r="C55" s="2" t="s">
        <v>46</v>
      </c>
      <c r="D55" s="2" t="s">
        <v>103</v>
      </c>
      <c r="E55" s="2" t="s">
        <v>163</v>
      </c>
      <c r="F55" s="2" t="s">
        <v>99</v>
      </c>
      <c r="G55" s="12" t="s">
        <v>79</v>
      </c>
      <c r="H55" s="12" t="s">
        <v>136</v>
      </c>
      <c r="I55" s="2" t="s">
        <v>80</v>
      </c>
      <c r="J55" s="2" t="s">
        <v>164</v>
      </c>
    </row>
    <row r="56" spans="2:10" x14ac:dyDescent="0.3">
      <c r="B56" s="2">
        <v>22</v>
      </c>
      <c r="C56" s="2" t="s">
        <v>165</v>
      </c>
      <c r="D56" s="2" t="s">
        <v>64</v>
      </c>
      <c r="E56" s="2" t="s">
        <v>166</v>
      </c>
      <c r="F56" s="2" t="s">
        <v>99</v>
      </c>
      <c r="G56" s="12" t="s">
        <v>79</v>
      </c>
      <c r="H56" s="12" t="s">
        <v>266</v>
      </c>
      <c r="I56" s="2" t="s">
        <v>167</v>
      </c>
      <c r="J56" s="2" t="s">
        <v>223</v>
      </c>
    </row>
    <row r="57" spans="2:10" x14ac:dyDescent="0.3">
      <c r="B57" s="2">
        <v>23</v>
      </c>
      <c r="C57" s="2" t="s">
        <v>165</v>
      </c>
      <c r="D57" s="2" t="s">
        <v>41</v>
      </c>
      <c r="E57" s="2" t="s">
        <v>169</v>
      </c>
      <c r="F57" s="2" t="s">
        <v>77</v>
      </c>
      <c r="G57" s="12" t="s">
        <v>79</v>
      </c>
      <c r="H57" s="12" t="s">
        <v>170</v>
      </c>
      <c r="I57" s="2" t="s">
        <v>48</v>
      </c>
      <c r="J57" s="2" t="s">
        <v>171</v>
      </c>
    </row>
    <row r="58" spans="2:10" x14ac:dyDescent="0.3">
      <c r="B58" s="2"/>
      <c r="C58" s="2" t="s">
        <v>173</v>
      </c>
      <c r="D58" s="2" t="s">
        <v>103</v>
      </c>
      <c r="E58" s="2" t="s">
        <v>174</v>
      </c>
      <c r="F58" s="2" t="s">
        <v>27</v>
      </c>
      <c r="G58" s="12" t="s">
        <v>110</v>
      </c>
      <c r="H58" s="12" t="s">
        <v>170</v>
      </c>
      <c r="I58" s="2" t="s">
        <v>80</v>
      </c>
      <c r="J58" s="2" t="s">
        <v>175</v>
      </c>
    </row>
    <row r="59" spans="2:10" x14ac:dyDescent="0.3">
      <c r="B59" s="2"/>
      <c r="C59" s="4" t="s">
        <v>173</v>
      </c>
      <c r="D59" s="2" t="s">
        <v>103</v>
      </c>
      <c r="E59" s="2" t="s">
        <v>174</v>
      </c>
      <c r="F59" s="2" t="s">
        <v>27</v>
      </c>
      <c r="G59" s="12" t="s">
        <v>110</v>
      </c>
      <c r="H59" s="12" t="s">
        <v>170</v>
      </c>
      <c r="I59" s="2" t="s">
        <v>80</v>
      </c>
      <c r="J59" s="2" t="s">
        <v>175</v>
      </c>
    </row>
    <row r="60" spans="2:10" x14ac:dyDescent="0.3">
      <c r="B60" s="2"/>
      <c r="C60" s="4" t="s">
        <v>196</v>
      </c>
      <c r="D60" s="2" t="s">
        <v>59</v>
      </c>
      <c r="E60" s="2" t="s">
        <v>219</v>
      </c>
      <c r="F60" s="2" t="s">
        <v>27</v>
      </c>
      <c r="G60" s="12" t="s">
        <v>110</v>
      </c>
      <c r="H60" s="12" t="s">
        <v>170</v>
      </c>
      <c r="I60" s="2" t="s">
        <v>221</v>
      </c>
      <c r="J60" s="2" t="s">
        <v>220</v>
      </c>
    </row>
    <row r="61" spans="2:10" x14ac:dyDescent="0.3">
      <c r="B61" s="2"/>
      <c r="C61" s="2" t="s">
        <v>165</v>
      </c>
      <c r="D61" s="2" t="s">
        <v>41</v>
      </c>
      <c r="E61" s="2" t="s">
        <v>172</v>
      </c>
      <c r="F61" s="2" t="s">
        <v>150</v>
      </c>
      <c r="G61" s="12" t="s">
        <v>110</v>
      </c>
      <c r="H61" s="12" t="s">
        <v>110</v>
      </c>
      <c r="I61" s="2" t="s">
        <v>48</v>
      </c>
      <c r="J61" s="2" t="s">
        <v>171</v>
      </c>
    </row>
    <row r="62" spans="2:10" x14ac:dyDescent="0.3">
      <c r="B62" s="2"/>
      <c r="C62" s="4" t="s">
        <v>165</v>
      </c>
      <c r="D62" s="2" t="s">
        <v>41</v>
      </c>
      <c r="E62" s="2" t="s">
        <v>172</v>
      </c>
      <c r="F62" s="2" t="s">
        <v>150</v>
      </c>
      <c r="G62" s="12" t="s">
        <v>110</v>
      </c>
      <c r="H62" s="12" t="s">
        <v>110</v>
      </c>
      <c r="I62" s="2" t="s">
        <v>48</v>
      </c>
      <c r="J62" s="2" t="s">
        <v>171</v>
      </c>
    </row>
    <row r="63" spans="2:10" x14ac:dyDescent="0.3">
      <c r="B63" s="1"/>
      <c r="C63" s="1"/>
      <c r="D63" s="1"/>
      <c r="E63" s="1"/>
      <c r="F63" s="1"/>
      <c r="G63" s="14"/>
      <c r="H63" s="14"/>
      <c r="I63" s="1"/>
      <c r="J63" s="1"/>
    </row>
    <row r="64" spans="2:10" x14ac:dyDescent="0.3">
      <c r="B64" s="1"/>
      <c r="C64" s="1"/>
      <c r="D64" s="1"/>
      <c r="E64" s="1"/>
      <c r="F64" s="1"/>
      <c r="G64" s="14"/>
      <c r="H64" s="14"/>
      <c r="I64" s="1"/>
      <c r="J64" s="1"/>
    </row>
    <row r="65" spans="2:10" ht="20.25" x14ac:dyDescent="0.3">
      <c r="B65" s="72" t="s">
        <v>180</v>
      </c>
      <c r="C65" s="73"/>
      <c r="D65" s="73"/>
      <c r="E65" s="73"/>
      <c r="F65" s="73"/>
      <c r="G65" s="73"/>
      <c r="H65" s="73"/>
      <c r="I65" s="73"/>
      <c r="J65" s="74"/>
    </row>
  </sheetData>
  <autoFilter ref="B32:J63">
    <sortState ref="B33:J64">
      <sortCondition ref="C32:C64"/>
    </sortState>
  </autoFilter>
  <customSheetViews>
    <customSheetView guid="{7A761F1B-9457-4EED-8EFC-CFF5C63E791B}" scale="85" fitToPage="1" showAutoFilter="1">
      <selection activeCell="D21" sqref="D21"/>
      <pageMargins left="0.7" right="0.7" top="0.75" bottom="0.75" header="0.3" footer="0.3"/>
      <pageSetup paperSize="9" scale="52" fitToHeight="0" orientation="landscape" r:id="rId1"/>
      <autoFilter ref="B32:J63">
        <sortState ref="B33:J64">
          <sortCondition ref="C32:C64"/>
        </sortState>
      </autoFilter>
    </customSheetView>
  </customSheetViews>
  <mergeCells count="8">
    <mergeCell ref="M6:N6"/>
    <mergeCell ref="B65:J65"/>
    <mergeCell ref="B2:J3"/>
    <mergeCell ref="D4:E4"/>
    <mergeCell ref="F4:H5"/>
    <mergeCell ref="I4:J5"/>
    <mergeCell ref="D5:E5"/>
    <mergeCell ref="B6:J6"/>
  </mergeCells>
  <phoneticPr fontId="1" type="noConversion"/>
  <conditionalFormatting sqref="C30:J30 C41:J41 C45:J45 C49:J49 C53:J53 C35:J36 D46:D47 C56:G56 I56:J56 C61:J62">
    <cfRule type="expression" dxfId="215" priority="89">
      <formula>$C31&lt;&gt;" "</formula>
    </cfRule>
    <cfRule type="expression" dxfId="214" priority="90">
      <formula>$C$7</formula>
    </cfRule>
  </conditionalFormatting>
  <conditionalFormatting sqref="C26:J26 C42:J42 C46:G46 C50:J50 C40:J40 C44:J44 C48:J48 C52:J52 I46:J46 C61:J61">
    <cfRule type="expression" dxfId="213" priority="91">
      <formula>$C29&lt;&gt;" "</formula>
    </cfRule>
    <cfRule type="expression" dxfId="212" priority="92">
      <formula>$C$7</formula>
    </cfRule>
  </conditionalFormatting>
  <conditionalFormatting sqref="C27:J27 C34:J34 C39:J39 C43:J43 C47:G47 C51:J51 B34:B42 I47:J47 B61:J61 C62:J62 B44:B62">
    <cfRule type="expression" dxfId="211" priority="87">
      <formula>$C29&lt;&gt;" "</formula>
    </cfRule>
    <cfRule type="expression" dxfId="210" priority="88">
      <formula>$C$7</formula>
    </cfRule>
  </conditionalFormatting>
  <conditionalFormatting sqref="B7:J7">
    <cfRule type="expression" dxfId="209" priority="85">
      <formula>$C29&lt;&gt;" "</formula>
    </cfRule>
    <cfRule type="expression" dxfId="208" priority="86">
      <formula>$C$7</formula>
    </cfRule>
  </conditionalFormatting>
  <conditionalFormatting sqref="D23 H23:I23 C19:J22 I24">
    <cfRule type="expression" dxfId="207" priority="93">
      <formula>$C27&lt;&gt;" "</formula>
    </cfRule>
    <cfRule type="expression" dxfId="206" priority="94">
      <formula>$C$7</formula>
    </cfRule>
  </conditionalFormatting>
  <conditionalFormatting sqref="C9:J9">
    <cfRule type="expression" dxfId="205" priority="79">
      <formula>$C12&lt;&gt;" "</formula>
    </cfRule>
    <cfRule type="expression" dxfId="204" priority="80">
      <formula>$C$7</formula>
    </cfRule>
  </conditionalFormatting>
  <conditionalFormatting sqref="C10:J10">
    <cfRule type="expression" dxfId="203" priority="77">
      <formula>$C12&lt;&gt;" "</formula>
    </cfRule>
    <cfRule type="expression" dxfId="202" priority="78">
      <formula>$C$7</formula>
    </cfRule>
  </conditionalFormatting>
  <conditionalFormatting sqref="C11:J11">
    <cfRule type="expression" dxfId="201" priority="81">
      <formula>$B27&lt;&gt;" "</formula>
    </cfRule>
    <cfRule type="expression" dxfId="200" priority="82">
      <formula>$C$7</formula>
    </cfRule>
  </conditionalFormatting>
  <conditionalFormatting sqref="B8:J8 B9:B17">
    <cfRule type="expression" dxfId="199" priority="95">
      <formula>$C28&lt;&gt;" "</formula>
    </cfRule>
    <cfRule type="expression" dxfId="198" priority="96">
      <formula>$C$7</formula>
    </cfRule>
  </conditionalFormatting>
  <conditionalFormatting sqref="C12:J16 B21 B25:B30">
    <cfRule type="expression" dxfId="197" priority="97">
      <formula>$C26&lt;&gt;" "</formula>
    </cfRule>
    <cfRule type="expression" dxfId="196" priority="98">
      <formula>$C$7</formula>
    </cfRule>
  </conditionalFormatting>
  <conditionalFormatting sqref="B61 C9:J9 C29:J29 C17:J17 C15:J15 C23:H23 J23 B33:J33 B22 G21:G23 B35:B43">
    <cfRule type="expression" dxfId="195" priority="99">
      <formula>#REF!&lt;&gt;" "</formula>
    </cfRule>
    <cfRule type="expression" dxfId="194" priority="100">
      <formula>$C$7</formula>
    </cfRule>
  </conditionalFormatting>
  <conditionalFormatting sqref="C28:J28">
    <cfRule type="expression" dxfId="193" priority="103">
      <formula>$B31&lt;&gt;" "</formula>
    </cfRule>
    <cfRule type="expression" dxfId="192" priority="104">
      <formula>$C$7</formula>
    </cfRule>
  </conditionalFormatting>
  <conditionalFormatting sqref="C24:H24 J24 C58:J60">
    <cfRule type="expression" dxfId="191" priority="105">
      <formula>$C31&lt;&gt;" "</formula>
    </cfRule>
    <cfRule type="expression" dxfId="190" priority="106">
      <formula>$C$7</formula>
    </cfRule>
  </conditionalFormatting>
  <conditionalFormatting sqref="C18:J18 M9 B23:B24">
    <cfRule type="expression" dxfId="189" priority="107">
      <formula>$C22&lt;&gt;" "</formula>
    </cfRule>
    <cfRule type="expression" dxfId="188" priority="108">
      <formula>$C$7</formula>
    </cfRule>
  </conditionalFormatting>
  <conditionalFormatting sqref="B32:J32 C37:J37 B62 C58:J59">
    <cfRule type="expression" dxfId="187" priority="111">
      <formula>$C36&lt;&gt;" "</formula>
    </cfRule>
    <cfRule type="expression" dxfId="186" priority="112">
      <formula>$C$7</formula>
    </cfRule>
  </conditionalFormatting>
  <conditionalFormatting sqref="C52:J52">
    <cfRule type="expression" dxfId="185" priority="73">
      <formula>$C53&lt;&gt;" "</formula>
    </cfRule>
    <cfRule type="expression" dxfId="184" priority="74">
      <formula>$C$7</formula>
    </cfRule>
  </conditionalFormatting>
  <conditionalFormatting sqref="C53:J53 C51:J51">
    <cfRule type="expression" dxfId="183" priority="75">
      <formula>$C54&lt;&gt;" "</formula>
    </cfRule>
    <cfRule type="expression" dxfId="182" priority="76">
      <formula>$C$7</formula>
    </cfRule>
  </conditionalFormatting>
  <conditionalFormatting sqref="C50:J50 C54:J54">
    <cfRule type="expression" dxfId="181" priority="71">
      <formula>$C52&lt;&gt;" "</formula>
    </cfRule>
    <cfRule type="expression" dxfId="180" priority="72">
      <formula>$C$7</formula>
    </cfRule>
  </conditionalFormatting>
  <conditionalFormatting sqref="C57:J57 C60:J61">
    <cfRule type="expression" dxfId="179" priority="115">
      <formula>$C62&lt;&gt;" "</formula>
    </cfRule>
    <cfRule type="expression" dxfId="178" priority="116">
      <formula>$C$7</formula>
    </cfRule>
  </conditionalFormatting>
  <conditionalFormatting sqref="C57:J57 C62:J62">
    <cfRule type="expression" dxfId="177" priority="117">
      <formula>$C63&lt;&gt;" "</formula>
    </cfRule>
    <cfRule type="expression" dxfId="176" priority="118">
      <formula>$C$7</formula>
    </cfRule>
  </conditionalFormatting>
  <conditionalFormatting sqref="C18:J18">
    <cfRule type="expression" dxfId="175" priority="55">
      <formula>$C21&lt;&gt;" "</formula>
    </cfRule>
    <cfRule type="expression" dxfId="174" priority="56">
      <formula>$C$7</formula>
    </cfRule>
  </conditionalFormatting>
  <conditionalFormatting sqref="C19:J19">
    <cfRule type="expression" dxfId="173" priority="53">
      <formula>$C21&lt;&gt;" "</formula>
    </cfRule>
    <cfRule type="expression" dxfId="172" priority="54">
      <formula>$C$7</formula>
    </cfRule>
  </conditionalFormatting>
  <conditionalFormatting sqref="C11:J14">
    <cfRule type="expression" dxfId="171" priority="57">
      <formula>$C19&lt;&gt;" "</formula>
    </cfRule>
    <cfRule type="expression" dxfId="170" priority="58">
      <formula>$C$7</formula>
    </cfRule>
  </conditionalFormatting>
  <conditionalFormatting sqref="C8:J8">
    <cfRule type="expression" dxfId="169" priority="59">
      <formula>$C22&lt;&gt;" "</formula>
    </cfRule>
    <cfRule type="expression" dxfId="168" priority="60">
      <formula>$C$7</formula>
    </cfRule>
  </conditionalFormatting>
  <conditionalFormatting sqref="B8:B22">
    <cfRule type="expression" dxfId="167" priority="61">
      <formula>$C23&lt;&gt;" "</formula>
    </cfRule>
    <cfRule type="expression" dxfId="166" priority="62">
      <formula>$C$7</formula>
    </cfRule>
  </conditionalFormatting>
  <conditionalFormatting sqref="C20:J20">
    <cfRule type="expression" dxfId="165" priority="63">
      <formula>$B23&lt;&gt;" "</formula>
    </cfRule>
    <cfRule type="expression" dxfId="164" priority="64">
      <formula>$C$7</formula>
    </cfRule>
  </conditionalFormatting>
  <conditionalFormatting sqref="C16:J16">
    <cfRule type="expression" dxfId="163" priority="65">
      <formula>$C23&lt;&gt;" "</formula>
    </cfRule>
    <cfRule type="expression" dxfId="162" priority="66">
      <formula>$C$7</formula>
    </cfRule>
  </conditionalFormatting>
  <conditionalFormatting sqref="C10:J10">
    <cfRule type="expression" dxfId="161" priority="67">
      <formula>$C23&lt;&gt;" "</formula>
    </cfRule>
    <cfRule type="expression" dxfId="160" priority="68">
      <formula>$C$7</formula>
    </cfRule>
  </conditionalFormatting>
  <conditionalFormatting sqref="M9">
    <cfRule type="expression" dxfId="159" priority="297">
      <formula>$C28&lt;&gt;" "</formula>
    </cfRule>
    <cfRule type="expression" dxfId="158" priority="298">
      <formula>$C$7</formula>
    </cfRule>
  </conditionalFormatting>
  <conditionalFormatting sqref="G23">
    <cfRule type="expression" dxfId="157" priority="35">
      <formula>$C31&lt;&gt;" "</formula>
    </cfRule>
    <cfRule type="expression" dxfId="156" priority="36">
      <formula>$C$7</formula>
    </cfRule>
  </conditionalFormatting>
  <conditionalFormatting sqref="F23">
    <cfRule type="expression" dxfId="155" priority="31">
      <formula>$C31&lt;&gt;" "</formula>
    </cfRule>
    <cfRule type="expression" dxfId="154" priority="32">
      <formula>$C$7</formula>
    </cfRule>
  </conditionalFormatting>
  <conditionalFormatting sqref="C23">
    <cfRule type="expression" dxfId="153" priority="29">
      <formula>$C31&lt;&gt;" "</formula>
    </cfRule>
    <cfRule type="expression" dxfId="152" priority="30">
      <formula>$C$7</formula>
    </cfRule>
  </conditionalFormatting>
  <conditionalFormatting sqref="F22">
    <cfRule type="expression" dxfId="151" priority="27">
      <formula>$C24&lt;&gt;" "</formula>
    </cfRule>
    <cfRule type="expression" dxfId="150" priority="28">
      <formula>$C$7</formula>
    </cfRule>
  </conditionalFormatting>
  <conditionalFormatting sqref="F23">
    <cfRule type="expression" dxfId="149" priority="25">
      <formula>$C31&lt;&gt;" "</formula>
    </cfRule>
    <cfRule type="expression" dxfId="148" priority="26">
      <formula>$C$7</formula>
    </cfRule>
  </conditionalFormatting>
  <conditionalFormatting sqref="F23">
    <cfRule type="expression" dxfId="147" priority="23">
      <formula>$C25&lt;&gt;" "</formula>
    </cfRule>
    <cfRule type="expression" dxfId="146" priority="24">
      <formula>$C$7</formula>
    </cfRule>
  </conditionalFormatting>
  <conditionalFormatting sqref="I25">
    <cfRule type="expression" dxfId="145" priority="19">
      <formula>$C33&lt;&gt;" "</formula>
    </cfRule>
    <cfRule type="expression" dxfId="144" priority="20">
      <formula>$C$7</formula>
    </cfRule>
  </conditionalFormatting>
  <conditionalFormatting sqref="C25:H25 J25">
    <cfRule type="expression" dxfId="143" priority="21">
      <formula>$C32&lt;&gt;" "</formula>
    </cfRule>
    <cfRule type="expression" dxfId="142" priority="22">
      <formula>$C$7</formula>
    </cfRule>
  </conditionalFormatting>
  <conditionalFormatting sqref="B18:B23">
    <cfRule type="expression" dxfId="141" priority="323">
      <formula>$C39&lt;&gt;" "</formula>
    </cfRule>
    <cfRule type="expression" dxfId="140" priority="324">
      <formula>$C$7</formula>
    </cfRule>
  </conditionalFormatting>
  <conditionalFormatting sqref="B23">
    <cfRule type="expression" dxfId="139" priority="339">
      <formula>$C39&lt;&gt;" "</formula>
    </cfRule>
    <cfRule type="expression" dxfId="138" priority="340">
      <formula>$C$7</formula>
    </cfRule>
  </conditionalFormatting>
  <conditionalFormatting sqref="C38:J38">
    <cfRule type="expression" dxfId="137" priority="15">
      <formula>$C40&lt;&gt;" "</formula>
    </cfRule>
    <cfRule type="expression" dxfId="136" priority="16">
      <formula>$C$7</formula>
    </cfRule>
  </conditionalFormatting>
  <conditionalFormatting sqref="H46">
    <cfRule type="expression" dxfId="135" priority="13">
      <formula>$C47&lt;&gt;" "</formula>
    </cfRule>
    <cfRule type="expression" dxfId="134" priority="14">
      <formula>$C$7</formula>
    </cfRule>
  </conditionalFormatting>
  <conditionalFormatting sqref="H47">
    <cfRule type="expression" dxfId="133" priority="11">
      <formula>$C48&lt;&gt;" "</formula>
    </cfRule>
    <cfRule type="expression" dxfId="132" priority="12">
      <formula>$C$7</formula>
    </cfRule>
  </conditionalFormatting>
  <conditionalFormatting sqref="C54:J55">
    <cfRule type="expression" dxfId="131" priority="343">
      <formula>#REF!&lt;&gt;" "</formula>
    </cfRule>
    <cfRule type="expression" dxfId="130" priority="344">
      <formula>$C$7</formula>
    </cfRule>
  </conditionalFormatting>
  <conditionalFormatting sqref="C55:J55 B55:B56">
    <cfRule type="expression" dxfId="129" priority="349">
      <formula>#REF!&lt;&gt;" "</formula>
    </cfRule>
    <cfRule type="expression" dxfId="128" priority="350">
      <formula>$C$7</formula>
    </cfRule>
  </conditionalFormatting>
  <conditionalFormatting sqref="C56:J56">
    <cfRule type="expression" dxfId="127" priority="385">
      <formula>#REF!&lt;&gt;" "</formula>
    </cfRule>
    <cfRule type="expression" dxfId="126" priority="386">
      <formula>$C$7</formula>
    </cfRule>
  </conditionalFormatting>
  <pageMargins left="0.7" right="0.7" top="0.75" bottom="0.75" header="0.3" footer="0.3"/>
  <pageSetup paperSize="9" scale="52" fitToHeight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6"/>
  <sheetViews>
    <sheetView zoomScale="85" zoomScaleNormal="85" workbookViewId="0">
      <selection activeCell="M31" sqref="M31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</cols>
  <sheetData>
    <row r="2" spans="2:10" x14ac:dyDescent="0.3">
      <c r="B2" s="75" t="s">
        <v>194</v>
      </c>
      <c r="C2" s="76"/>
      <c r="D2" s="76"/>
      <c r="E2" s="76"/>
      <c r="F2" s="76"/>
      <c r="G2" s="76"/>
      <c r="H2" s="76"/>
      <c r="I2" s="76"/>
      <c r="J2" s="77"/>
    </row>
    <row r="3" spans="2:10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0" ht="26.25" x14ac:dyDescent="0.3">
      <c r="B4" s="10" t="s">
        <v>0</v>
      </c>
      <c r="C4" s="11"/>
      <c r="D4" s="81">
        <f>COUNT(B8:B28)</f>
        <v>21</v>
      </c>
      <c r="E4" s="82"/>
      <c r="F4" s="83" t="s">
        <v>181</v>
      </c>
      <c r="G4" s="84"/>
      <c r="H4" s="84"/>
      <c r="I4" s="87" t="s">
        <v>179</v>
      </c>
      <c r="J4" s="88"/>
    </row>
    <row r="5" spans="2:10" ht="26.25" x14ac:dyDescent="0.3">
      <c r="B5" s="10" t="s">
        <v>1</v>
      </c>
      <c r="C5" s="11"/>
      <c r="D5" s="81">
        <f>COUNT(B33:B63)</f>
        <v>29</v>
      </c>
      <c r="E5" s="82"/>
      <c r="F5" s="85"/>
      <c r="G5" s="86"/>
      <c r="H5" s="86"/>
      <c r="I5" s="89"/>
      <c r="J5" s="90"/>
    </row>
    <row r="6" spans="2:10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</row>
    <row r="7" spans="2:10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</row>
    <row r="8" spans="2:10" x14ac:dyDescent="0.3">
      <c r="B8" s="2">
        <v>1</v>
      </c>
      <c r="C8" s="4" t="s">
        <v>22</v>
      </c>
      <c r="D8" s="2" t="s">
        <v>16</v>
      </c>
      <c r="E8" s="2" t="s">
        <v>17</v>
      </c>
      <c r="F8" s="2" t="s">
        <v>18</v>
      </c>
      <c r="G8" s="13" t="s">
        <v>19</v>
      </c>
      <c r="H8" s="2" t="s">
        <v>20</v>
      </c>
      <c r="I8" s="2" t="s">
        <v>21</v>
      </c>
      <c r="J8" s="5">
        <v>765000</v>
      </c>
    </row>
    <row r="9" spans="2:10" x14ac:dyDescent="0.3">
      <c r="B9" s="2">
        <v>2</v>
      </c>
      <c r="C9" s="4" t="s">
        <v>15</v>
      </c>
      <c r="D9" s="2" t="s">
        <v>16</v>
      </c>
      <c r="E9" s="2" t="s">
        <v>177</v>
      </c>
      <c r="F9" s="2" t="s">
        <v>23</v>
      </c>
      <c r="G9" s="13" t="s">
        <v>19</v>
      </c>
      <c r="H9" s="2" t="s">
        <v>24</v>
      </c>
      <c r="I9" s="2" t="s">
        <v>25</v>
      </c>
      <c r="J9" s="5">
        <v>1500000</v>
      </c>
    </row>
    <row r="10" spans="2:10" x14ac:dyDescent="0.3">
      <c r="B10" s="2">
        <v>3</v>
      </c>
      <c r="C10" s="4" t="s">
        <v>15</v>
      </c>
      <c r="D10" s="2" t="s">
        <v>16</v>
      </c>
      <c r="E10" s="2" t="s">
        <v>26</v>
      </c>
      <c r="F10" s="2" t="s">
        <v>27</v>
      </c>
      <c r="G10" s="13" t="s">
        <v>19</v>
      </c>
      <c r="H10" s="2" t="s">
        <v>28</v>
      </c>
      <c r="I10" s="2" t="s">
        <v>29</v>
      </c>
      <c r="J10" s="5">
        <v>2750000</v>
      </c>
    </row>
    <row r="11" spans="2:10" x14ac:dyDescent="0.3">
      <c r="B11" s="2">
        <v>4</v>
      </c>
      <c r="C11" s="2" t="s">
        <v>15</v>
      </c>
      <c r="D11" s="2" t="s">
        <v>16</v>
      </c>
      <c r="E11" s="2" t="s">
        <v>30</v>
      </c>
      <c r="F11" s="2" t="s">
        <v>27</v>
      </c>
      <c r="G11" s="13" t="s">
        <v>19</v>
      </c>
      <c r="H11" s="2" t="s">
        <v>28</v>
      </c>
      <c r="I11" s="2" t="s">
        <v>29</v>
      </c>
      <c r="J11" s="5">
        <v>2750000</v>
      </c>
    </row>
    <row r="12" spans="2:10" x14ac:dyDescent="0.3">
      <c r="B12" s="2">
        <v>5</v>
      </c>
      <c r="C12" s="4" t="s">
        <v>31</v>
      </c>
      <c r="D12" s="2" t="s">
        <v>32</v>
      </c>
      <c r="E12" s="2" t="s">
        <v>33</v>
      </c>
      <c r="F12" s="2" t="s">
        <v>27</v>
      </c>
      <c r="G12" s="13" t="s">
        <v>19</v>
      </c>
      <c r="H12" s="2" t="s">
        <v>34</v>
      </c>
      <c r="I12" s="2" t="s">
        <v>35</v>
      </c>
      <c r="J12" s="2"/>
    </row>
    <row r="13" spans="2:10" x14ac:dyDescent="0.3">
      <c r="B13" s="2">
        <v>6</v>
      </c>
      <c r="C13" s="4" t="s">
        <v>36</v>
      </c>
      <c r="D13" s="2" t="s">
        <v>16</v>
      </c>
      <c r="E13" s="2" t="s">
        <v>37</v>
      </c>
      <c r="F13" s="2" t="s">
        <v>23</v>
      </c>
      <c r="G13" s="13" t="s">
        <v>19</v>
      </c>
      <c r="H13" s="2" t="s">
        <v>38</v>
      </c>
      <c r="I13" s="2" t="s">
        <v>39</v>
      </c>
      <c r="J13" s="2"/>
    </row>
    <row r="14" spans="2:10" x14ac:dyDescent="0.3">
      <c r="B14" s="2">
        <v>7</v>
      </c>
      <c r="C14" s="4" t="s">
        <v>40</v>
      </c>
      <c r="D14" s="2" t="s">
        <v>41</v>
      </c>
      <c r="E14" s="2" t="s">
        <v>42</v>
      </c>
      <c r="F14" s="2" t="s">
        <v>43</v>
      </c>
      <c r="G14" s="13" t="s">
        <v>19</v>
      </c>
      <c r="H14" s="2" t="s">
        <v>44</v>
      </c>
      <c r="I14" s="2" t="s">
        <v>45</v>
      </c>
      <c r="J14" s="2"/>
    </row>
    <row r="15" spans="2:10" x14ac:dyDescent="0.3">
      <c r="B15" s="2">
        <v>8</v>
      </c>
      <c r="C15" s="4" t="s">
        <v>46</v>
      </c>
      <c r="D15" s="2" t="s">
        <v>41</v>
      </c>
      <c r="E15" s="2" t="s">
        <v>47</v>
      </c>
      <c r="F15" s="2" t="s">
        <v>27</v>
      </c>
      <c r="G15" s="13" t="s">
        <v>19</v>
      </c>
      <c r="H15" s="2" t="s">
        <v>48</v>
      </c>
      <c r="I15" s="2" t="s">
        <v>49</v>
      </c>
      <c r="J15" s="2"/>
    </row>
    <row r="16" spans="2:10" x14ac:dyDescent="0.3">
      <c r="B16" s="2">
        <v>9</v>
      </c>
      <c r="C16" s="4" t="s">
        <v>50</v>
      </c>
      <c r="D16" s="2" t="s">
        <v>41</v>
      </c>
      <c r="E16" s="2" t="s">
        <v>51</v>
      </c>
      <c r="F16" s="2" t="s">
        <v>27</v>
      </c>
      <c r="G16" s="13" t="s">
        <v>52</v>
      </c>
      <c r="H16" s="2" t="s">
        <v>53</v>
      </c>
      <c r="I16" s="2" t="s">
        <v>54</v>
      </c>
      <c r="J16" s="2"/>
    </row>
    <row r="17" spans="2:10" x14ac:dyDescent="0.3">
      <c r="B17" s="2">
        <v>10</v>
      </c>
      <c r="C17" s="4" t="s">
        <v>50</v>
      </c>
      <c r="D17" s="2" t="s">
        <v>16</v>
      </c>
      <c r="E17" s="2" t="s">
        <v>55</v>
      </c>
      <c r="F17" s="2" t="s">
        <v>23</v>
      </c>
      <c r="G17" s="13" t="s">
        <v>52</v>
      </c>
      <c r="H17" s="2" t="s">
        <v>56</v>
      </c>
      <c r="I17" s="2" t="s">
        <v>57</v>
      </c>
      <c r="J17" s="2"/>
    </row>
    <row r="18" spans="2:10" x14ac:dyDescent="0.3">
      <c r="B18" s="2">
        <v>11</v>
      </c>
      <c r="C18" s="4" t="s">
        <v>58</v>
      </c>
      <c r="D18" s="2" t="s">
        <v>59</v>
      </c>
      <c r="E18" s="2" t="s">
        <v>60</v>
      </c>
      <c r="F18" s="2" t="s">
        <v>27</v>
      </c>
      <c r="G18" s="13" t="s">
        <v>52</v>
      </c>
      <c r="H18" s="2" t="s">
        <v>61</v>
      </c>
      <c r="I18" s="2" t="s">
        <v>62</v>
      </c>
      <c r="J18" s="2"/>
    </row>
    <row r="19" spans="2:10" x14ac:dyDescent="0.3">
      <c r="B19" s="2">
        <v>12</v>
      </c>
      <c r="C19" s="4" t="s">
        <v>63</v>
      </c>
      <c r="D19" s="2" t="s">
        <v>64</v>
      </c>
      <c r="E19" s="2" t="s">
        <v>65</v>
      </c>
      <c r="F19" s="2" t="s">
        <v>66</v>
      </c>
      <c r="G19" s="13" t="s">
        <v>52</v>
      </c>
      <c r="H19" s="2" t="s">
        <v>67</v>
      </c>
      <c r="I19" s="2" t="s">
        <v>68</v>
      </c>
      <c r="J19" s="2"/>
    </row>
    <row r="20" spans="2:10" x14ac:dyDescent="0.3">
      <c r="B20" s="2">
        <v>13</v>
      </c>
      <c r="C20" s="4" t="s">
        <v>63</v>
      </c>
      <c r="D20" s="2" t="s">
        <v>64</v>
      </c>
      <c r="E20" s="2" t="s">
        <v>69</v>
      </c>
      <c r="F20" s="2" t="s">
        <v>66</v>
      </c>
      <c r="G20" s="13" t="s">
        <v>52</v>
      </c>
      <c r="H20" s="2" t="s">
        <v>67</v>
      </c>
      <c r="I20" s="2" t="s">
        <v>70</v>
      </c>
      <c r="J20" s="2"/>
    </row>
    <row r="21" spans="2:10" x14ac:dyDescent="0.3">
      <c r="B21" s="2">
        <v>14</v>
      </c>
      <c r="C21" s="4" t="s">
        <v>40</v>
      </c>
      <c r="D21" s="2" t="s">
        <v>64</v>
      </c>
      <c r="E21" s="2" t="s">
        <v>71</v>
      </c>
      <c r="F21" s="2" t="s">
        <v>27</v>
      </c>
      <c r="G21" s="13" t="s">
        <v>52</v>
      </c>
      <c r="H21" s="2" t="s">
        <v>72</v>
      </c>
      <c r="I21" s="2" t="s">
        <v>73</v>
      </c>
      <c r="J21" s="5">
        <v>2500000</v>
      </c>
    </row>
    <row r="22" spans="2:10" x14ac:dyDescent="0.3">
      <c r="B22" s="2">
        <v>15</v>
      </c>
      <c r="C22" s="4" t="s">
        <v>198</v>
      </c>
      <c r="D22" s="2" t="s">
        <v>32</v>
      </c>
      <c r="E22" s="2" t="s">
        <v>199</v>
      </c>
      <c r="F22" s="2" t="s">
        <v>27</v>
      </c>
      <c r="G22" s="13" t="s">
        <v>52</v>
      </c>
      <c r="H22" s="2" t="s">
        <v>215</v>
      </c>
      <c r="I22" s="2" t="s">
        <v>210</v>
      </c>
      <c r="J22" s="2"/>
    </row>
    <row r="23" spans="2:10" x14ac:dyDescent="0.3">
      <c r="B23" s="2">
        <v>16</v>
      </c>
      <c r="C23" s="4" t="s">
        <v>196</v>
      </c>
      <c r="D23" s="2" t="s">
        <v>41</v>
      </c>
      <c r="E23" s="2" t="s">
        <v>200</v>
      </c>
      <c r="F23" s="2" t="s">
        <v>201</v>
      </c>
      <c r="G23" s="13" t="s">
        <v>52</v>
      </c>
      <c r="H23" s="2" t="s">
        <v>216</v>
      </c>
      <c r="I23" s="2" t="s">
        <v>211</v>
      </c>
      <c r="J23" s="2"/>
    </row>
    <row r="24" spans="2:10" x14ac:dyDescent="0.3">
      <c r="B24" s="2">
        <v>17</v>
      </c>
      <c r="C24" s="4" t="s">
        <v>202</v>
      </c>
      <c r="D24" s="2" t="s">
        <v>41</v>
      </c>
      <c r="E24" s="2" t="s">
        <v>203</v>
      </c>
      <c r="F24" s="2" t="s">
        <v>201</v>
      </c>
      <c r="G24" s="13" t="s">
        <v>52</v>
      </c>
      <c r="H24" s="2" t="s">
        <v>53</v>
      </c>
      <c r="I24" s="2" t="s">
        <v>212</v>
      </c>
      <c r="J24" s="2"/>
    </row>
    <row r="25" spans="2:10" x14ac:dyDescent="0.3">
      <c r="B25" s="2">
        <v>18</v>
      </c>
      <c r="C25" s="4" t="s">
        <v>204</v>
      </c>
      <c r="D25" s="2" t="s">
        <v>103</v>
      </c>
      <c r="E25" s="2" t="s">
        <v>205</v>
      </c>
      <c r="F25" s="2" t="s">
        <v>27</v>
      </c>
      <c r="G25" s="13" t="s">
        <v>52</v>
      </c>
      <c r="H25" s="2" t="s">
        <v>217</v>
      </c>
      <c r="I25" s="2" t="s">
        <v>213</v>
      </c>
      <c r="J25" s="5"/>
    </row>
    <row r="26" spans="2:10" x14ac:dyDescent="0.3">
      <c r="B26" s="2">
        <v>19</v>
      </c>
      <c r="C26" s="4" t="s">
        <v>206</v>
      </c>
      <c r="D26" s="2" t="s">
        <v>64</v>
      </c>
      <c r="E26" s="2" t="s">
        <v>143</v>
      </c>
      <c r="F26" s="2" t="s">
        <v>27</v>
      </c>
      <c r="G26" s="13" t="s">
        <v>52</v>
      </c>
      <c r="H26" s="2" t="s">
        <v>85</v>
      </c>
      <c r="I26" s="2" t="s">
        <v>144</v>
      </c>
      <c r="J26" s="5"/>
    </row>
    <row r="27" spans="2:10" x14ac:dyDescent="0.3">
      <c r="B27" s="2">
        <v>20</v>
      </c>
      <c r="C27" s="4" t="s">
        <v>207</v>
      </c>
      <c r="D27" s="2" t="s">
        <v>64</v>
      </c>
      <c r="E27" s="2" t="s">
        <v>208</v>
      </c>
      <c r="F27" s="2" t="s">
        <v>66</v>
      </c>
      <c r="G27" s="13" t="s">
        <v>209</v>
      </c>
      <c r="H27" s="2" t="s">
        <v>218</v>
      </c>
      <c r="I27" s="2" t="s">
        <v>214</v>
      </c>
      <c r="J27" s="5"/>
    </row>
    <row r="28" spans="2:10" x14ac:dyDescent="0.3">
      <c r="B28" s="2">
        <v>21</v>
      </c>
      <c r="C28" s="2" t="s">
        <v>207</v>
      </c>
      <c r="D28" s="2" t="s">
        <v>64</v>
      </c>
      <c r="E28" s="2" t="s">
        <v>197</v>
      </c>
      <c r="F28" s="2" t="s">
        <v>66</v>
      </c>
      <c r="G28" s="13" t="s">
        <v>209</v>
      </c>
      <c r="H28" s="2" t="s">
        <v>218</v>
      </c>
      <c r="I28" s="2" t="s">
        <v>214</v>
      </c>
      <c r="J28" s="5"/>
    </row>
    <row r="29" spans="2:10" x14ac:dyDescent="0.3">
      <c r="B29" s="2"/>
      <c r="C29" s="4"/>
      <c r="D29" s="2"/>
      <c r="E29" s="2"/>
      <c r="F29" s="2"/>
      <c r="G29" s="13"/>
      <c r="H29" s="2"/>
      <c r="I29" s="2"/>
      <c r="J29" s="2"/>
    </row>
    <row r="30" spans="2:10" x14ac:dyDescent="0.3">
      <c r="B30" s="2"/>
      <c r="C30" s="4"/>
      <c r="D30" s="2"/>
      <c r="E30" s="2"/>
      <c r="F30" s="2"/>
      <c r="G30" s="13"/>
      <c r="H30" s="2"/>
      <c r="I30" s="2"/>
      <c r="J30" s="2"/>
    </row>
    <row r="31" spans="2:10" ht="26.25" x14ac:dyDescent="0.3">
      <c r="B31" s="9" t="s">
        <v>11</v>
      </c>
      <c r="C31" s="7"/>
      <c r="D31" s="7"/>
      <c r="E31" s="7"/>
      <c r="F31" s="7"/>
      <c r="G31" s="7"/>
      <c r="H31" s="7"/>
      <c r="I31" s="7"/>
      <c r="J31" s="8"/>
    </row>
    <row r="32" spans="2:10" x14ac:dyDescent="0.3">
      <c r="B32" s="6" t="s">
        <v>12</v>
      </c>
      <c r="C32" s="6" t="s">
        <v>3</v>
      </c>
      <c r="D32" s="6" t="s">
        <v>4</v>
      </c>
      <c r="E32" s="6" t="s">
        <v>5</v>
      </c>
      <c r="F32" s="6" t="s">
        <v>13</v>
      </c>
      <c r="G32" s="6" t="s">
        <v>176</v>
      </c>
      <c r="H32" s="6" t="s">
        <v>14</v>
      </c>
      <c r="I32" s="6" t="s">
        <v>8</v>
      </c>
      <c r="J32" s="6" t="s">
        <v>9</v>
      </c>
    </row>
    <row r="33" spans="2:10" x14ac:dyDescent="0.3">
      <c r="B33" s="2">
        <v>1</v>
      </c>
      <c r="C33" s="2" t="s">
        <v>74</v>
      </c>
      <c r="D33" s="2" t="s">
        <v>184</v>
      </c>
      <c r="E33" s="2" t="s">
        <v>76</v>
      </c>
      <c r="F33" s="2" t="s">
        <v>77</v>
      </c>
      <c r="G33" s="12" t="s">
        <v>78</v>
      </c>
      <c r="H33" s="12" t="s">
        <v>79</v>
      </c>
      <c r="I33" s="2" t="s">
        <v>80</v>
      </c>
      <c r="J33" s="2" t="s">
        <v>81</v>
      </c>
    </row>
    <row r="34" spans="2:10" x14ac:dyDescent="0.3">
      <c r="B34" s="2">
        <v>2</v>
      </c>
      <c r="C34" s="2" t="s">
        <v>82</v>
      </c>
      <c r="D34" s="2" t="s">
        <v>183</v>
      </c>
      <c r="E34" s="2" t="s">
        <v>84</v>
      </c>
      <c r="F34" s="2" t="s">
        <v>27</v>
      </c>
      <c r="G34" s="12" t="s">
        <v>78</v>
      </c>
      <c r="H34" s="12" t="s">
        <v>79</v>
      </c>
      <c r="I34" s="2" t="s">
        <v>85</v>
      </c>
      <c r="J34" s="2" t="s">
        <v>86</v>
      </c>
    </row>
    <row r="35" spans="2:10" x14ac:dyDescent="0.3">
      <c r="B35" s="2">
        <v>3</v>
      </c>
      <c r="C35" s="2" t="s">
        <v>87</v>
      </c>
      <c r="D35" s="2" t="s">
        <v>182</v>
      </c>
      <c r="E35" s="2" t="s">
        <v>88</v>
      </c>
      <c r="F35" s="2" t="s">
        <v>89</v>
      </c>
      <c r="G35" s="12" t="s">
        <v>78</v>
      </c>
      <c r="H35" s="12" t="s">
        <v>79</v>
      </c>
      <c r="I35" s="2" t="s">
        <v>90</v>
      </c>
      <c r="J35" s="2" t="s">
        <v>91</v>
      </c>
    </row>
    <row r="36" spans="2:10" x14ac:dyDescent="0.3">
      <c r="B36" s="2">
        <v>4</v>
      </c>
      <c r="C36" s="2" t="s">
        <v>97</v>
      </c>
      <c r="D36" s="2" t="s">
        <v>183</v>
      </c>
      <c r="E36" s="2" t="s">
        <v>98</v>
      </c>
      <c r="F36" s="2" t="s">
        <v>99</v>
      </c>
      <c r="G36" s="12" t="s">
        <v>100</v>
      </c>
      <c r="H36" s="12" t="s">
        <v>79</v>
      </c>
      <c r="I36" s="2" t="s">
        <v>67</v>
      </c>
      <c r="J36" s="2" t="s">
        <v>101</v>
      </c>
    </row>
    <row r="37" spans="2:10" x14ac:dyDescent="0.3">
      <c r="B37" s="2">
        <v>5</v>
      </c>
      <c r="C37" s="2" t="s">
        <v>102</v>
      </c>
      <c r="D37" s="2" t="s">
        <v>103</v>
      </c>
      <c r="E37" s="2" t="s">
        <v>104</v>
      </c>
      <c r="F37" s="2" t="s">
        <v>27</v>
      </c>
      <c r="G37" s="12" t="s">
        <v>100</v>
      </c>
      <c r="H37" s="12" t="s">
        <v>79</v>
      </c>
      <c r="I37" s="2" t="s">
        <v>80</v>
      </c>
      <c r="J37" s="2" t="s">
        <v>105</v>
      </c>
    </row>
    <row r="38" spans="2:10" x14ac:dyDescent="0.3">
      <c r="B38" s="2">
        <v>6</v>
      </c>
      <c r="C38" s="2" t="s">
        <v>102</v>
      </c>
      <c r="D38" s="2" t="s">
        <v>41</v>
      </c>
      <c r="E38" s="2" t="s">
        <v>106</v>
      </c>
      <c r="F38" s="2" t="s">
        <v>27</v>
      </c>
      <c r="G38" s="12" t="s">
        <v>100</v>
      </c>
      <c r="H38" s="12" t="s">
        <v>79</v>
      </c>
      <c r="I38" s="2" t="s">
        <v>107</v>
      </c>
      <c r="J38" s="2" t="s">
        <v>49</v>
      </c>
    </row>
    <row r="39" spans="2:10" x14ac:dyDescent="0.3">
      <c r="B39" s="2">
        <v>7</v>
      </c>
      <c r="C39" s="2" t="s">
        <v>108</v>
      </c>
      <c r="D39" s="2" t="s">
        <v>182</v>
      </c>
      <c r="E39" s="2" t="s">
        <v>109</v>
      </c>
      <c r="F39" s="2" t="s">
        <v>27</v>
      </c>
      <c r="G39" s="12" t="s">
        <v>100</v>
      </c>
      <c r="H39" s="12" t="s">
        <v>110</v>
      </c>
      <c r="I39" s="2" t="s">
        <v>111</v>
      </c>
      <c r="J39" s="2" t="s">
        <v>112</v>
      </c>
    </row>
    <row r="40" spans="2:10" x14ac:dyDescent="0.3">
      <c r="B40" s="2">
        <v>8</v>
      </c>
      <c r="C40" s="2" t="s">
        <v>113</v>
      </c>
      <c r="D40" s="2" t="s">
        <v>182</v>
      </c>
      <c r="E40" s="2" t="s">
        <v>114</v>
      </c>
      <c r="F40" s="2" t="s">
        <v>99</v>
      </c>
      <c r="G40" s="12" t="s">
        <v>100</v>
      </c>
      <c r="H40" s="12" t="s">
        <v>79</v>
      </c>
      <c r="I40" s="2" t="s">
        <v>115</v>
      </c>
      <c r="J40" s="2" t="s">
        <v>116</v>
      </c>
    </row>
    <row r="41" spans="2:10" x14ac:dyDescent="0.3">
      <c r="B41" s="2">
        <v>9</v>
      </c>
      <c r="C41" s="2" t="s">
        <v>117</v>
      </c>
      <c r="D41" s="2" t="s">
        <v>103</v>
      </c>
      <c r="E41" s="2" t="s">
        <v>118</v>
      </c>
      <c r="F41" s="2" t="s">
        <v>27</v>
      </c>
      <c r="G41" s="12" t="s">
        <v>119</v>
      </c>
      <c r="H41" s="12" t="s">
        <v>110</v>
      </c>
      <c r="I41" s="2" t="s">
        <v>120</v>
      </c>
      <c r="J41" s="2" t="s">
        <v>121</v>
      </c>
    </row>
    <row r="42" spans="2:10" x14ac:dyDescent="0.3">
      <c r="B42" s="2">
        <v>10</v>
      </c>
      <c r="C42" s="2" t="s">
        <v>122</v>
      </c>
      <c r="D42" s="2" t="s">
        <v>32</v>
      </c>
      <c r="E42" s="2" t="s">
        <v>125</v>
      </c>
      <c r="F42" s="2" t="s">
        <v>27</v>
      </c>
      <c r="G42" s="12" t="s">
        <v>119</v>
      </c>
      <c r="H42" s="12" t="s">
        <v>79</v>
      </c>
      <c r="I42" s="2" t="s">
        <v>126</v>
      </c>
      <c r="J42" s="2" t="s">
        <v>127</v>
      </c>
    </row>
    <row r="43" spans="2:10" x14ac:dyDescent="0.3">
      <c r="B43" s="2">
        <v>11</v>
      </c>
      <c r="C43" s="2" t="s">
        <v>122</v>
      </c>
      <c r="D43" s="2" t="s">
        <v>103</v>
      </c>
      <c r="E43" s="2" t="s">
        <v>123</v>
      </c>
      <c r="F43" s="2" t="s">
        <v>27</v>
      </c>
      <c r="G43" s="12" t="s">
        <v>119</v>
      </c>
      <c r="H43" s="12" t="s">
        <v>110</v>
      </c>
      <c r="I43" s="2" t="s">
        <v>80</v>
      </c>
      <c r="J43" s="2" t="s">
        <v>124</v>
      </c>
    </row>
    <row r="44" spans="2:10" x14ac:dyDescent="0.3">
      <c r="B44" s="2">
        <v>12</v>
      </c>
      <c r="C44" s="2" t="s">
        <v>128</v>
      </c>
      <c r="D44" s="2" t="s">
        <v>183</v>
      </c>
      <c r="E44" s="2" t="s">
        <v>129</v>
      </c>
      <c r="F44" s="2" t="s">
        <v>99</v>
      </c>
      <c r="G44" s="12" t="s">
        <v>119</v>
      </c>
      <c r="H44" s="12" t="s">
        <v>79</v>
      </c>
      <c r="I44" s="2" t="s">
        <v>72</v>
      </c>
      <c r="J44" s="2" t="s">
        <v>130</v>
      </c>
    </row>
    <row r="45" spans="2:10" x14ac:dyDescent="0.3">
      <c r="B45" s="2">
        <v>13</v>
      </c>
      <c r="C45" s="2" t="s">
        <v>128</v>
      </c>
      <c r="D45" s="2" t="s">
        <v>183</v>
      </c>
      <c r="E45" s="2" t="s">
        <v>131</v>
      </c>
      <c r="F45" s="2" t="s">
        <v>99</v>
      </c>
      <c r="G45" s="12" t="s">
        <v>119</v>
      </c>
      <c r="H45" s="12" t="s">
        <v>79</v>
      </c>
      <c r="I45" s="2" t="s">
        <v>72</v>
      </c>
      <c r="J45" s="2" t="s">
        <v>132</v>
      </c>
    </row>
    <row r="46" spans="2:10" x14ac:dyDescent="0.3">
      <c r="B46" s="2">
        <v>14</v>
      </c>
      <c r="C46" s="2" t="s">
        <v>128</v>
      </c>
      <c r="D46" s="2" t="s">
        <v>183</v>
      </c>
      <c r="E46" s="2" t="s">
        <v>133</v>
      </c>
      <c r="F46" s="2" t="s">
        <v>99</v>
      </c>
      <c r="G46" s="12" t="s">
        <v>119</v>
      </c>
      <c r="H46" s="12" t="s">
        <v>79</v>
      </c>
      <c r="I46" s="2" t="s">
        <v>72</v>
      </c>
      <c r="J46" s="2" t="s">
        <v>132</v>
      </c>
    </row>
    <row r="47" spans="2:10" x14ac:dyDescent="0.3">
      <c r="B47" s="2">
        <v>15</v>
      </c>
      <c r="C47" s="2" t="s">
        <v>134</v>
      </c>
      <c r="D47" s="2" t="s">
        <v>103</v>
      </c>
      <c r="E47" s="2" t="s">
        <v>135</v>
      </c>
      <c r="F47" s="2" t="s">
        <v>27</v>
      </c>
      <c r="G47" s="12" t="s">
        <v>79</v>
      </c>
      <c r="H47" s="12" t="s">
        <v>136</v>
      </c>
      <c r="I47" s="2" t="s">
        <v>137</v>
      </c>
      <c r="J47" s="2" t="s">
        <v>138</v>
      </c>
    </row>
    <row r="48" spans="2:10" x14ac:dyDescent="0.3">
      <c r="B48" s="2">
        <v>16</v>
      </c>
      <c r="C48" s="2" t="s">
        <v>63</v>
      </c>
      <c r="D48" s="2" t="s">
        <v>64</v>
      </c>
      <c r="E48" s="2" t="s">
        <v>139</v>
      </c>
      <c r="F48" s="2" t="s">
        <v>27</v>
      </c>
      <c r="G48" s="12" t="s">
        <v>79</v>
      </c>
      <c r="H48" s="12" t="s">
        <v>110</v>
      </c>
      <c r="I48" s="2" t="s">
        <v>140</v>
      </c>
      <c r="J48" s="2" t="s">
        <v>141</v>
      </c>
    </row>
    <row r="49" spans="2:10" x14ac:dyDescent="0.3">
      <c r="B49" s="2">
        <v>17</v>
      </c>
      <c r="C49" s="2" t="s">
        <v>145</v>
      </c>
      <c r="D49" s="2" t="s">
        <v>59</v>
      </c>
      <c r="E49" s="2" t="s">
        <v>146</v>
      </c>
      <c r="F49" s="2" t="s">
        <v>27</v>
      </c>
      <c r="G49" s="12" t="s">
        <v>79</v>
      </c>
      <c r="H49" s="12" t="s">
        <v>136</v>
      </c>
      <c r="I49" s="2" t="s">
        <v>147</v>
      </c>
      <c r="J49" s="2" t="s">
        <v>148</v>
      </c>
    </row>
    <row r="50" spans="2:10" x14ac:dyDescent="0.3">
      <c r="B50" s="2">
        <v>18</v>
      </c>
      <c r="C50" s="2" t="s">
        <v>31</v>
      </c>
      <c r="D50" s="2" t="s">
        <v>64</v>
      </c>
      <c r="E50" s="2" t="s">
        <v>149</v>
      </c>
      <c r="F50" s="2" t="s">
        <v>150</v>
      </c>
      <c r="G50" s="12" t="s">
        <v>79</v>
      </c>
      <c r="H50" s="12" t="s">
        <v>136</v>
      </c>
      <c r="I50" s="2" t="s">
        <v>151</v>
      </c>
      <c r="J50" s="2" t="s">
        <v>152</v>
      </c>
    </row>
    <row r="51" spans="2:10" x14ac:dyDescent="0.3">
      <c r="B51" s="2">
        <v>19</v>
      </c>
      <c r="C51" s="2" t="s">
        <v>36</v>
      </c>
      <c r="D51" s="2" t="s">
        <v>103</v>
      </c>
      <c r="E51" s="2" t="s">
        <v>153</v>
      </c>
      <c r="F51" s="2" t="s">
        <v>27</v>
      </c>
      <c r="G51" s="12" t="s">
        <v>79</v>
      </c>
      <c r="H51" s="12" t="s">
        <v>136</v>
      </c>
      <c r="I51" s="2" t="s">
        <v>154</v>
      </c>
      <c r="J51" s="2" t="s">
        <v>155</v>
      </c>
    </row>
    <row r="52" spans="2:10" x14ac:dyDescent="0.3">
      <c r="B52" s="2">
        <v>20</v>
      </c>
      <c r="C52" s="2" t="s">
        <v>40</v>
      </c>
      <c r="D52" s="2" t="s">
        <v>32</v>
      </c>
      <c r="E52" s="2" t="s">
        <v>156</v>
      </c>
      <c r="F52" s="2" t="s">
        <v>27</v>
      </c>
      <c r="G52" s="12" t="s">
        <v>79</v>
      </c>
      <c r="H52" s="12" t="s">
        <v>110</v>
      </c>
      <c r="I52" s="2" t="s">
        <v>157</v>
      </c>
      <c r="J52" s="2" t="s">
        <v>158</v>
      </c>
    </row>
    <row r="53" spans="2:10" x14ac:dyDescent="0.3">
      <c r="B53" s="2">
        <v>21</v>
      </c>
      <c r="C53" s="2" t="s">
        <v>159</v>
      </c>
      <c r="D53" s="2" t="s">
        <v>103</v>
      </c>
      <c r="E53" s="2" t="s">
        <v>160</v>
      </c>
      <c r="F53" s="2" t="s">
        <v>27</v>
      </c>
      <c r="G53" s="12" t="s">
        <v>79</v>
      </c>
      <c r="H53" s="12" t="s">
        <v>110</v>
      </c>
      <c r="I53" s="2" t="s">
        <v>161</v>
      </c>
      <c r="J53" s="2" t="s">
        <v>162</v>
      </c>
    </row>
    <row r="54" spans="2:10" x14ac:dyDescent="0.3">
      <c r="B54" s="2">
        <v>22</v>
      </c>
      <c r="C54" s="2" t="s">
        <v>46</v>
      </c>
      <c r="D54" s="2" t="s">
        <v>103</v>
      </c>
      <c r="E54" s="2" t="s">
        <v>163</v>
      </c>
      <c r="F54" s="2" t="s">
        <v>99</v>
      </c>
      <c r="G54" s="12" t="s">
        <v>79</v>
      </c>
      <c r="H54" s="12" t="s">
        <v>136</v>
      </c>
      <c r="I54" s="2" t="s">
        <v>80</v>
      </c>
      <c r="J54" s="2" t="s">
        <v>164</v>
      </c>
    </row>
    <row r="55" spans="2:10" x14ac:dyDescent="0.3">
      <c r="B55" s="2">
        <v>23</v>
      </c>
      <c r="C55" s="2" t="s">
        <v>165</v>
      </c>
      <c r="D55" s="2" t="s">
        <v>64</v>
      </c>
      <c r="E55" s="2" t="s">
        <v>166</v>
      </c>
      <c r="F55" s="2" t="s">
        <v>99</v>
      </c>
      <c r="G55" s="12" t="s">
        <v>79</v>
      </c>
      <c r="H55" s="12" t="s">
        <v>222</v>
      </c>
      <c r="I55" s="2" t="s">
        <v>167</v>
      </c>
      <c r="J55" s="2" t="s">
        <v>223</v>
      </c>
    </row>
    <row r="56" spans="2:10" x14ac:dyDescent="0.3">
      <c r="B56" s="2">
        <v>24</v>
      </c>
      <c r="C56" s="2" t="s">
        <v>165</v>
      </c>
      <c r="D56" s="2" t="s">
        <v>41</v>
      </c>
      <c r="E56" s="2" t="s">
        <v>172</v>
      </c>
      <c r="F56" s="2" t="s">
        <v>150</v>
      </c>
      <c r="G56" s="12" t="s">
        <v>110</v>
      </c>
      <c r="H56" s="12" t="s">
        <v>110</v>
      </c>
      <c r="I56" s="2" t="s">
        <v>48</v>
      </c>
      <c r="J56" s="2" t="s">
        <v>171</v>
      </c>
    </row>
    <row r="57" spans="2:10" x14ac:dyDescent="0.3">
      <c r="B57" s="2">
        <v>25</v>
      </c>
      <c r="C57" s="4" t="s">
        <v>165</v>
      </c>
      <c r="D57" s="2" t="s">
        <v>41</v>
      </c>
      <c r="E57" s="2" t="s">
        <v>172</v>
      </c>
      <c r="F57" s="2" t="s">
        <v>150</v>
      </c>
      <c r="G57" s="12" t="s">
        <v>110</v>
      </c>
      <c r="H57" s="12" t="s">
        <v>110</v>
      </c>
      <c r="I57" s="2" t="s">
        <v>48</v>
      </c>
      <c r="J57" s="2" t="s">
        <v>171</v>
      </c>
    </row>
    <row r="58" spans="2:10" x14ac:dyDescent="0.3">
      <c r="B58" s="2">
        <v>26</v>
      </c>
      <c r="C58" s="2" t="s">
        <v>165</v>
      </c>
      <c r="D58" s="2" t="s">
        <v>41</v>
      </c>
      <c r="E58" s="2" t="s">
        <v>169</v>
      </c>
      <c r="F58" s="2" t="s">
        <v>77</v>
      </c>
      <c r="G58" s="12" t="s">
        <v>79</v>
      </c>
      <c r="H58" s="12" t="s">
        <v>170</v>
      </c>
      <c r="I58" s="2" t="s">
        <v>48</v>
      </c>
      <c r="J58" s="2" t="s">
        <v>171</v>
      </c>
    </row>
    <row r="59" spans="2:10" x14ac:dyDescent="0.3">
      <c r="B59" s="2">
        <v>27</v>
      </c>
      <c r="C59" s="2" t="s">
        <v>173</v>
      </c>
      <c r="D59" s="2" t="s">
        <v>103</v>
      </c>
      <c r="E59" s="2" t="s">
        <v>174</v>
      </c>
      <c r="F59" s="2" t="s">
        <v>27</v>
      </c>
      <c r="G59" s="12" t="s">
        <v>110</v>
      </c>
      <c r="H59" s="12" t="s">
        <v>170</v>
      </c>
      <c r="I59" s="2" t="s">
        <v>80</v>
      </c>
      <c r="J59" s="2" t="s">
        <v>175</v>
      </c>
    </row>
    <row r="60" spans="2:10" x14ac:dyDescent="0.3">
      <c r="B60" s="2">
        <v>28</v>
      </c>
      <c r="C60" s="4" t="s">
        <v>173</v>
      </c>
      <c r="D60" s="2" t="s">
        <v>103</v>
      </c>
      <c r="E60" s="2" t="s">
        <v>174</v>
      </c>
      <c r="F60" s="2" t="s">
        <v>27</v>
      </c>
      <c r="G60" s="12" t="s">
        <v>110</v>
      </c>
      <c r="H60" s="12" t="s">
        <v>170</v>
      </c>
      <c r="I60" s="2" t="s">
        <v>80</v>
      </c>
      <c r="J60" s="2" t="s">
        <v>175</v>
      </c>
    </row>
    <row r="61" spans="2:10" x14ac:dyDescent="0.3">
      <c r="B61" s="2">
        <v>29</v>
      </c>
      <c r="C61" s="4" t="s">
        <v>196</v>
      </c>
      <c r="D61" s="2" t="s">
        <v>59</v>
      </c>
      <c r="E61" s="2" t="s">
        <v>219</v>
      </c>
      <c r="F61" s="2" t="s">
        <v>27</v>
      </c>
      <c r="G61" s="12" t="s">
        <v>110</v>
      </c>
      <c r="H61" s="12" t="s">
        <v>170</v>
      </c>
      <c r="I61" s="2" t="s">
        <v>221</v>
      </c>
      <c r="J61" s="2" t="s">
        <v>220</v>
      </c>
    </row>
    <row r="62" spans="2:10" x14ac:dyDescent="0.3">
      <c r="B62" s="2"/>
      <c r="C62" s="4"/>
      <c r="D62" s="2"/>
      <c r="E62" s="2"/>
      <c r="F62" s="2"/>
      <c r="G62" s="12"/>
      <c r="H62" s="12"/>
      <c r="I62" s="2"/>
      <c r="J62" s="2"/>
    </row>
    <row r="63" spans="2:10" x14ac:dyDescent="0.3">
      <c r="B63" s="2"/>
      <c r="C63" s="4"/>
      <c r="D63" s="2"/>
      <c r="E63" s="2"/>
      <c r="F63" s="2"/>
      <c r="G63" s="12"/>
      <c r="H63" s="12"/>
      <c r="I63" s="2"/>
      <c r="J63" s="2"/>
    </row>
    <row r="64" spans="2:10" x14ac:dyDescent="0.3">
      <c r="B64" s="1"/>
      <c r="C64" s="1"/>
      <c r="D64" s="1"/>
      <c r="E64" s="1"/>
      <c r="F64" s="1"/>
      <c r="G64" s="14"/>
      <c r="H64" s="14"/>
      <c r="I64" s="1"/>
      <c r="J64" s="1"/>
    </row>
    <row r="65" spans="2:10" x14ac:dyDescent="0.3">
      <c r="B65" s="1"/>
      <c r="C65" s="1"/>
      <c r="D65" s="1"/>
      <c r="E65" s="1"/>
      <c r="F65" s="1"/>
      <c r="G65" s="14"/>
      <c r="H65" s="14"/>
      <c r="I65" s="1"/>
      <c r="J65" s="1"/>
    </row>
    <row r="66" spans="2:10" ht="20.25" x14ac:dyDescent="0.3">
      <c r="B66" s="72" t="s">
        <v>180</v>
      </c>
      <c r="C66" s="73"/>
      <c r="D66" s="73"/>
      <c r="E66" s="73"/>
      <c r="F66" s="73"/>
      <c r="G66" s="73"/>
      <c r="H66" s="73"/>
      <c r="I66" s="73"/>
      <c r="J66" s="74"/>
    </row>
  </sheetData>
  <autoFilter ref="B32:J64">
    <sortState ref="B33:J64">
      <sortCondition ref="C32:C64"/>
    </sortState>
  </autoFilter>
  <customSheetViews>
    <customSheetView guid="{7A761F1B-9457-4EED-8EFC-CFF5C63E791B}" scale="85" showAutoFilter="1" topLeftCell="A7">
      <selection activeCell="B8" sqref="B8"/>
      <pageMargins left="0.7" right="0.7" top="0.75" bottom="0.75" header="0.3" footer="0.3"/>
      <pageSetup paperSize="9" orientation="portrait" r:id="rId1"/>
      <autoFilter ref="B32:J64">
        <sortState ref="B33:J64">
          <sortCondition ref="C32:C64"/>
        </sortState>
      </autoFilter>
    </customSheetView>
  </customSheetViews>
  <mergeCells count="7">
    <mergeCell ref="B66:J66"/>
    <mergeCell ref="B2:J3"/>
    <mergeCell ref="D4:E4"/>
    <mergeCell ref="F4:H5"/>
    <mergeCell ref="I4:J5"/>
    <mergeCell ref="D5:E5"/>
    <mergeCell ref="B6:J6"/>
  </mergeCells>
  <phoneticPr fontId="1" type="noConversion"/>
  <conditionalFormatting sqref="C30:J30 C40:J40 C44:J44 C48:J48 C52:J52 C56:J56 C63:J63 D45:D46 C35:J36">
    <cfRule type="expression" dxfId="125" priority="19">
      <formula>$C31&lt;&gt;" "</formula>
    </cfRule>
    <cfRule type="expression" dxfId="124" priority="20">
      <formula>$C$7</formula>
    </cfRule>
  </conditionalFormatting>
  <conditionalFormatting sqref="C26:J26 C37:J37 C41:J41 C45:J45 C49:J49 C53:J53 C39:J39 C43:J43 C47:J47 C51:J51 C55:J55 B36:B41 B45:B50 B54:B59">
    <cfRule type="expression" dxfId="123" priority="21">
      <formula>$C29&lt;&gt;" "</formula>
    </cfRule>
    <cfRule type="expression" dxfId="122" priority="22">
      <formula>$C$7</formula>
    </cfRule>
  </conditionalFormatting>
  <conditionalFormatting sqref="C27:J27 C34:J34 B34:B36 B38:J38 B40 C42:J42 C46:J46 C50:J50 C54:J54 C62:J62 B43:B45 B52:B54 B61:B62 B47 B56 B49 B58">
    <cfRule type="expression" dxfId="121" priority="17">
      <formula>$C29&lt;&gt;" "</formula>
    </cfRule>
    <cfRule type="expression" dxfId="120" priority="18">
      <formula>$C$7</formula>
    </cfRule>
  </conditionalFormatting>
  <conditionalFormatting sqref="B7:J7">
    <cfRule type="expression" dxfId="119" priority="15">
      <formula>$C29&lt;&gt;" "</formula>
    </cfRule>
    <cfRule type="expression" dxfId="118" priority="16">
      <formula>$C$7</formula>
    </cfRule>
  </conditionalFormatting>
  <conditionalFormatting sqref="C19:J22">
    <cfRule type="expression" dxfId="117" priority="23">
      <formula>$C27&lt;&gt;" "</formula>
    </cfRule>
    <cfRule type="expression" dxfId="116" priority="24">
      <formula>$C$7</formula>
    </cfRule>
  </conditionalFormatting>
  <conditionalFormatting sqref="B9:J9">
    <cfRule type="expression" dxfId="115" priority="9">
      <formula>$C12&lt;&gt;" "</formula>
    </cfRule>
    <cfRule type="expression" dxfId="114" priority="10">
      <formula>$C$7</formula>
    </cfRule>
  </conditionalFormatting>
  <conditionalFormatting sqref="C10:J10">
    <cfRule type="expression" dxfId="113" priority="7">
      <formula>$C12&lt;&gt;" "</formula>
    </cfRule>
    <cfRule type="expression" dxfId="112" priority="8">
      <formula>$C$7</formula>
    </cfRule>
  </conditionalFormatting>
  <conditionalFormatting sqref="B11:J11">
    <cfRule type="expression" dxfId="111" priority="11">
      <formula>$B27&lt;&gt;" "</formula>
    </cfRule>
    <cfRule type="expression" dxfId="110" priority="12">
      <formula>$C$7</formula>
    </cfRule>
  </conditionalFormatting>
  <conditionalFormatting sqref="B10 B12:B14">
    <cfRule type="expression" dxfId="109" priority="13">
      <formula>$C26&lt;&gt;" "</formula>
    </cfRule>
    <cfRule type="expression" dxfId="108" priority="14">
      <formula>$C$7</formula>
    </cfRule>
  </conditionalFormatting>
  <conditionalFormatting sqref="B8:J8">
    <cfRule type="expression" dxfId="107" priority="25">
      <formula>$C28&lt;&gt;" "</formula>
    </cfRule>
    <cfRule type="expression" dxfId="106" priority="26">
      <formula>$C$7</formula>
    </cfRule>
  </conditionalFormatting>
  <conditionalFormatting sqref="C12:J16 B18:B21">
    <cfRule type="expression" dxfId="105" priority="27">
      <formula>$C26&lt;&gt;" "</formula>
    </cfRule>
    <cfRule type="expression" dxfId="104" priority="28">
      <formula>$C$7</formula>
    </cfRule>
  </conditionalFormatting>
  <conditionalFormatting sqref="C25:J25 C23:J23 B15 C29:J29 B17:J17">
    <cfRule type="expression" dxfId="103" priority="29">
      <formula>#REF!&lt;&gt;" "</formula>
    </cfRule>
    <cfRule type="expression" dxfId="102" priority="30">
      <formula>$C$7</formula>
    </cfRule>
  </conditionalFormatting>
  <conditionalFormatting sqref="B16">
    <cfRule type="expression" dxfId="101" priority="31">
      <formula>$C31&lt;&gt;" "</formula>
    </cfRule>
    <cfRule type="expression" dxfId="100" priority="32">
      <formula>$C$7</formula>
    </cfRule>
  </conditionalFormatting>
  <conditionalFormatting sqref="C28:J28">
    <cfRule type="expression" dxfId="99" priority="33">
      <formula>$B31&lt;&gt;" "</formula>
    </cfRule>
    <cfRule type="expression" dxfId="98" priority="34">
      <formula>$C$7</formula>
    </cfRule>
  </conditionalFormatting>
  <conditionalFormatting sqref="C24:J24 C59:J61">
    <cfRule type="expression" dxfId="97" priority="35">
      <formula>$C31&lt;&gt;" "</formula>
    </cfRule>
    <cfRule type="expression" dxfId="96" priority="36">
      <formula>$C$7</formula>
    </cfRule>
  </conditionalFormatting>
  <conditionalFormatting sqref="C18:J18 B23:B30">
    <cfRule type="expression" dxfId="95" priority="37">
      <formula>$C31&lt;&gt;" "</formula>
    </cfRule>
    <cfRule type="expression" dxfId="94" priority="38">
      <formula>$C$7</formula>
    </cfRule>
  </conditionalFormatting>
  <conditionalFormatting sqref="B33:J33 B35 B37 B39 B41:B42 B44 B53 B62 B46 B55 B48 B57 B50:B51 B59:B60">
    <cfRule type="expression" dxfId="93" priority="39">
      <formula>#REF!&lt;&gt;" "</formula>
    </cfRule>
    <cfRule type="expression" dxfId="92" priority="40">
      <formula>$C$7</formula>
    </cfRule>
  </conditionalFormatting>
  <conditionalFormatting sqref="B32:J32 B63 C59:J60">
    <cfRule type="expression" dxfId="91" priority="41">
      <formula>$C36&lt;&gt;" "</formula>
    </cfRule>
    <cfRule type="expression" dxfId="90" priority="42">
      <formula>$C$7</formula>
    </cfRule>
  </conditionalFormatting>
  <conditionalFormatting sqref="B22">
    <cfRule type="expression" dxfId="89" priority="43">
      <formula>#REF!&lt;&gt;" "</formula>
    </cfRule>
    <cfRule type="expression" dxfId="88" priority="44">
      <formula>$C$7</formula>
    </cfRule>
  </conditionalFormatting>
  <conditionalFormatting sqref="C51:J51 C55:J55">
    <cfRule type="expression" dxfId="87" priority="3">
      <formula>$C52&lt;&gt;" "</formula>
    </cfRule>
    <cfRule type="expression" dxfId="86" priority="4">
      <formula>$C$7</formula>
    </cfRule>
  </conditionalFormatting>
  <conditionalFormatting sqref="C52:J52 C56:J56 C50:J50 C54:J54">
    <cfRule type="expression" dxfId="85" priority="5">
      <formula>$C53&lt;&gt;" "</formula>
    </cfRule>
    <cfRule type="expression" dxfId="84" priority="6">
      <formula>$C$7</formula>
    </cfRule>
  </conditionalFormatting>
  <conditionalFormatting sqref="C49:J49 C53:J53 C57:J57">
    <cfRule type="expression" dxfId="83" priority="1">
      <formula>$C51&lt;&gt;" "</formula>
    </cfRule>
    <cfRule type="expression" dxfId="82" priority="2">
      <formula>$C$7</formula>
    </cfRule>
  </conditionalFormatting>
  <conditionalFormatting sqref="C58:J58 C61:J62">
    <cfRule type="expression" dxfId="81" priority="237">
      <formula>$C63&lt;&gt;" "</formula>
    </cfRule>
    <cfRule type="expression" dxfId="80" priority="238">
      <formula>$C$7</formula>
    </cfRule>
  </conditionalFormatting>
  <conditionalFormatting sqref="C57:J58">
    <cfRule type="expression" dxfId="79" priority="243">
      <formula>$C63&lt;&gt;" "</formula>
    </cfRule>
    <cfRule type="expression" dxfId="78" priority="244">
      <formula>$C$7</formula>
    </cfRule>
  </conditionalFormatting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2"/>
  <sheetViews>
    <sheetView topLeftCell="A36" zoomScale="85" zoomScaleNormal="85" workbookViewId="0">
      <selection activeCell="G66" sqref="G66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7" width="23.5" customWidth="1"/>
    <col min="8" max="8" width="23.5" bestFit="1" customWidth="1"/>
    <col min="9" max="9" width="30.375" bestFit="1" customWidth="1"/>
    <col min="10" max="10" width="28.25" bestFit="1" customWidth="1"/>
  </cols>
  <sheetData>
    <row r="2" spans="2:10" x14ac:dyDescent="0.3">
      <c r="B2" s="75" t="s">
        <v>193</v>
      </c>
      <c r="C2" s="76"/>
      <c r="D2" s="76"/>
      <c r="E2" s="76"/>
      <c r="F2" s="76"/>
      <c r="G2" s="76"/>
      <c r="H2" s="76"/>
      <c r="I2" s="76"/>
      <c r="J2" s="77"/>
    </row>
    <row r="3" spans="2:10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0" ht="26.25" x14ac:dyDescent="0.3">
      <c r="B4" s="10" t="s">
        <v>0</v>
      </c>
      <c r="C4" s="11"/>
      <c r="D4" s="81">
        <f>COUNT(B8:B21)</f>
        <v>14</v>
      </c>
      <c r="E4" s="82"/>
      <c r="F4" s="83" t="s">
        <v>181</v>
      </c>
      <c r="G4" s="84"/>
      <c r="H4" s="84"/>
      <c r="I4" s="87" t="s">
        <v>179</v>
      </c>
      <c r="J4" s="88"/>
    </row>
    <row r="5" spans="2:10" ht="26.25" x14ac:dyDescent="0.3">
      <c r="B5" s="10" t="s">
        <v>1</v>
      </c>
      <c r="C5" s="11"/>
      <c r="D5" s="81">
        <f>COUNT(B33:B60)</f>
        <v>28</v>
      </c>
      <c r="E5" s="82"/>
      <c r="F5" s="85"/>
      <c r="G5" s="86"/>
      <c r="H5" s="86"/>
      <c r="I5" s="89"/>
      <c r="J5" s="90"/>
    </row>
    <row r="6" spans="2:10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</row>
    <row r="7" spans="2:10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</row>
    <row r="8" spans="2:10" x14ac:dyDescent="0.3">
      <c r="B8" s="2">
        <v>1</v>
      </c>
      <c r="C8" s="4" t="s">
        <v>22</v>
      </c>
      <c r="D8" s="2" t="s">
        <v>16</v>
      </c>
      <c r="E8" s="2" t="s">
        <v>17</v>
      </c>
      <c r="F8" s="2" t="s">
        <v>18</v>
      </c>
      <c r="G8" s="13" t="s">
        <v>19</v>
      </c>
      <c r="H8" s="2" t="s">
        <v>20</v>
      </c>
      <c r="I8" s="2" t="s">
        <v>21</v>
      </c>
      <c r="J8" s="5">
        <v>765000</v>
      </c>
    </row>
    <row r="9" spans="2:10" x14ac:dyDescent="0.3">
      <c r="B9" s="2">
        <v>2</v>
      </c>
      <c r="C9" s="4" t="s">
        <v>15</v>
      </c>
      <c r="D9" s="2" t="s">
        <v>16</v>
      </c>
      <c r="E9" s="2" t="s">
        <v>177</v>
      </c>
      <c r="F9" s="2" t="s">
        <v>23</v>
      </c>
      <c r="G9" s="13" t="s">
        <v>19</v>
      </c>
      <c r="H9" s="2" t="s">
        <v>24</v>
      </c>
      <c r="I9" s="2" t="s">
        <v>25</v>
      </c>
      <c r="J9" s="5">
        <v>1500000</v>
      </c>
    </row>
    <row r="10" spans="2:10" x14ac:dyDescent="0.3">
      <c r="B10" s="2">
        <v>3</v>
      </c>
      <c r="C10" s="4" t="s">
        <v>15</v>
      </c>
      <c r="D10" s="2" t="s">
        <v>16</v>
      </c>
      <c r="E10" s="2" t="s">
        <v>26</v>
      </c>
      <c r="F10" s="2" t="s">
        <v>27</v>
      </c>
      <c r="G10" s="13" t="s">
        <v>19</v>
      </c>
      <c r="H10" s="2" t="s">
        <v>28</v>
      </c>
      <c r="I10" s="2" t="s">
        <v>29</v>
      </c>
      <c r="J10" s="5">
        <v>2750000</v>
      </c>
    </row>
    <row r="11" spans="2:10" x14ac:dyDescent="0.3">
      <c r="B11" s="2">
        <v>4</v>
      </c>
      <c r="C11" s="2" t="s">
        <v>15</v>
      </c>
      <c r="D11" s="2" t="s">
        <v>16</v>
      </c>
      <c r="E11" s="2" t="s">
        <v>30</v>
      </c>
      <c r="F11" s="2" t="s">
        <v>27</v>
      </c>
      <c r="G11" s="13" t="s">
        <v>19</v>
      </c>
      <c r="H11" s="2" t="s">
        <v>28</v>
      </c>
      <c r="I11" s="2" t="s">
        <v>29</v>
      </c>
      <c r="J11" s="5">
        <v>2750000</v>
      </c>
    </row>
    <row r="12" spans="2:10" x14ac:dyDescent="0.3">
      <c r="B12" s="2">
        <v>5</v>
      </c>
      <c r="C12" s="4" t="s">
        <v>31</v>
      </c>
      <c r="D12" s="2" t="s">
        <v>32</v>
      </c>
      <c r="E12" s="2" t="s">
        <v>33</v>
      </c>
      <c r="F12" s="2" t="s">
        <v>27</v>
      </c>
      <c r="G12" s="13" t="s">
        <v>19</v>
      </c>
      <c r="H12" s="2" t="s">
        <v>34</v>
      </c>
      <c r="I12" s="2" t="s">
        <v>35</v>
      </c>
      <c r="J12" s="2"/>
    </row>
    <row r="13" spans="2:10" x14ac:dyDescent="0.3">
      <c r="B13" s="2">
        <v>6</v>
      </c>
      <c r="C13" s="4" t="s">
        <v>36</v>
      </c>
      <c r="D13" s="2" t="s">
        <v>16</v>
      </c>
      <c r="E13" s="2" t="s">
        <v>37</v>
      </c>
      <c r="F13" s="2" t="s">
        <v>23</v>
      </c>
      <c r="G13" s="13" t="s">
        <v>19</v>
      </c>
      <c r="H13" s="2" t="s">
        <v>38</v>
      </c>
      <c r="I13" s="2" t="s">
        <v>39</v>
      </c>
      <c r="J13" s="2"/>
    </row>
    <row r="14" spans="2:10" x14ac:dyDescent="0.3">
      <c r="B14" s="2">
        <v>7</v>
      </c>
      <c r="C14" s="4" t="s">
        <v>40</v>
      </c>
      <c r="D14" s="2" t="s">
        <v>41</v>
      </c>
      <c r="E14" s="2" t="s">
        <v>42</v>
      </c>
      <c r="F14" s="2" t="s">
        <v>43</v>
      </c>
      <c r="G14" s="13" t="s">
        <v>19</v>
      </c>
      <c r="H14" s="2" t="s">
        <v>44</v>
      </c>
      <c r="I14" s="2" t="s">
        <v>45</v>
      </c>
      <c r="J14" s="2"/>
    </row>
    <row r="15" spans="2:10" x14ac:dyDescent="0.3">
      <c r="B15" s="2">
        <v>8</v>
      </c>
      <c r="C15" s="4" t="s">
        <v>46</v>
      </c>
      <c r="D15" s="2" t="s">
        <v>41</v>
      </c>
      <c r="E15" s="2" t="s">
        <v>47</v>
      </c>
      <c r="F15" s="2" t="s">
        <v>27</v>
      </c>
      <c r="G15" s="13" t="s">
        <v>19</v>
      </c>
      <c r="H15" s="2" t="s">
        <v>48</v>
      </c>
      <c r="I15" s="2" t="s">
        <v>49</v>
      </c>
      <c r="J15" s="2"/>
    </row>
    <row r="16" spans="2:10" x14ac:dyDescent="0.3">
      <c r="B16" s="2">
        <v>9</v>
      </c>
      <c r="C16" s="4" t="s">
        <v>50</v>
      </c>
      <c r="D16" s="2" t="s">
        <v>41</v>
      </c>
      <c r="E16" s="2" t="s">
        <v>51</v>
      </c>
      <c r="F16" s="2" t="s">
        <v>27</v>
      </c>
      <c r="G16" s="13" t="s">
        <v>52</v>
      </c>
      <c r="H16" s="2" t="s">
        <v>53</v>
      </c>
      <c r="I16" s="2" t="s">
        <v>54</v>
      </c>
      <c r="J16" s="2"/>
    </row>
    <row r="17" spans="2:10" x14ac:dyDescent="0.3">
      <c r="B17" s="2">
        <v>10</v>
      </c>
      <c r="C17" s="4" t="s">
        <v>50</v>
      </c>
      <c r="D17" s="2" t="s">
        <v>16</v>
      </c>
      <c r="E17" s="2" t="s">
        <v>55</v>
      </c>
      <c r="F17" s="2" t="s">
        <v>23</v>
      </c>
      <c r="G17" s="13" t="s">
        <v>52</v>
      </c>
      <c r="H17" s="2" t="s">
        <v>56</v>
      </c>
      <c r="I17" s="2" t="s">
        <v>57</v>
      </c>
      <c r="J17" s="2"/>
    </row>
    <row r="18" spans="2:10" x14ac:dyDescent="0.3">
      <c r="B18" s="2">
        <v>11</v>
      </c>
      <c r="C18" s="4" t="s">
        <v>58</v>
      </c>
      <c r="D18" s="2" t="s">
        <v>59</v>
      </c>
      <c r="E18" s="2" t="s">
        <v>60</v>
      </c>
      <c r="F18" s="2" t="s">
        <v>27</v>
      </c>
      <c r="G18" s="13" t="s">
        <v>52</v>
      </c>
      <c r="H18" s="2" t="s">
        <v>61</v>
      </c>
      <c r="I18" s="2" t="s">
        <v>62</v>
      </c>
      <c r="J18" s="2"/>
    </row>
    <row r="19" spans="2:10" x14ac:dyDescent="0.3">
      <c r="B19" s="2">
        <v>12</v>
      </c>
      <c r="C19" s="4" t="s">
        <v>63</v>
      </c>
      <c r="D19" s="2" t="s">
        <v>64</v>
      </c>
      <c r="E19" s="2" t="s">
        <v>65</v>
      </c>
      <c r="F19" s="2" t="s">
        <v>66</v>
      </c>
      <c r="G19" s="13" t="s">
        <v>52</v>
      </c>
      <c r="H19" s="2" t="s">
        <v>67</v>
      </c>
      <c r="I19" s="2" t="s">
        <v>68</v>
      </c>
      <c r="J19" s="2"/>
    </row>
    <row r="20" spans="2:10" x14ac:dyDescent="0.3">
      <c r="B20" s="2">
        <v>13</v>
      </c>
      <c r="C20" s="4" t="s">
        <v>63</v>
      </c>
      <c r="D20" s="2" t="s">
        <v>64</v>
      </c>
      <c r="E20" s="2" t="s">
        <v>69</v>
      </c>
      <c r="F20" s="2" t="s">
        <v>66</v>
      </c>
      <c r="G20" s="13" t="s">
        <v>52</v>
      </c>
      <c r="H20" s="2" t="s">
        <v>67</v>
      </c>
      <c r="I20" s="2" t="s">
        <v>70</v>
      </c>
      <c r="J20" s="2"/>
    </row>
    <row r="21" spans="2:10" x14ac:dyDescent="0.3">
      <c r="B21" s="2">
        <v>14</v>
      </c>
      <c r="C21" s="4" t="s">
        <v>40</v>
      </c>
      <c r="D21" s="2" t="s">
        <v>64</v>
      </c>
      <c r="E21" s="2" t="s">
        <v>71</v>
      </c>
      <c r="F21" s="2" t="s">
        <v>27</v>
      </c>
      <c r="G21" s="13" t="s">
        <v>52</v>
      </c>
      <c r="H21" s="2" t="s">
        <v>72</v>
      </c>
      <c r="I21" s="2" t="s">
        <v>73</v>
      </c>
      <c r="J21" s="5">
        <v>2500000</v>
      </c>
    </row>
    <row r="22" spans="2:10" x14ac:dyDescent="0.3">
      <c r="B22" s="2">
        <v>15</v>
      </c>
      <c r="C22" s="4"/>
      <c r="D22" s="2"/>
      <c r="E22" s="2"/>
      <c r="F22" s="2"/>
      <c r="G22" s="13"/>
      <c r="H22" s="2"/>
      <c r="I22" s="2"/>
      <c r="J22" s="2"/>
    </row>
    <row r="23" spans="2:10" x14ac:dyDescent="0.3">
      <c r="B23" s="2">
        <v>16</v>
      </c>
      <c r="C23" s="4"/>
      <c r="D23" s="2"/>
      <c r="E23" s="2"/>
      <c r="F23" s="2"/>
      <c r="G23" s="13"/>
      <c r="H23" s="2"/>
      <c r="I23" s="2"/>
      <c r="J23" s="2"/>
    </row>
    <row r="24" spans="2:10" x14ac:dyDescent="0.3">
      <c r="B24" s="2">
        <v>17</v>
      </c>
      <c r="C24" s="4"/>
      <c r="D24" s="2"/>
      <c r="E24" s="2"/>
      <c r="F24" s="2"/>
      <c r="G24" s="13"/>
      <c r="H24" s="2"/>
      <c r="I24" s="2"/>
      <c r="J24" s="2"/>
    </row>
    <row r="25" spans="2:10" x14ac:dyDescent="0.3">
      <c r="B25" s="2">
        <v>18</v>
      </c>
      <c r="C25" s="4"/>
      <c r="D25" s="2"/>
      <c r="E25" s="2"/>
      <c r="F25" s="2"/>
      <c r="G25" s="13"/>
      <c r="H25" s="2"/>
      <c r="I25" s="2"/>
      <c r="J25" s="5"/>
    </row>
    <row r="26" spans="2:10" x14ac:dyDescent="0.3">
      <c r="B26" s="2">
        <v>19</v>
      </c>
      <c r="C26" s="4"/>
      <c r="D26" s="2"/>
      <c r="E26" s="2"/>
      <c r="F26" s="2"/>
      <c r="G26" s="13"/>
      <c r="H26" s="2"/>
      <c r="I26" s="2"/>
      <c r="J26" s="5"/>
    </row>
    <row r="27" spans="2:10" x14ac:dyDescent="0.3">
      <c r="B27" s="2">
        <v>20</v>
      </c>
      <c r="C27" s="4"/>
      <c r="D27" s="2"/>
      <c r="E27" s="2"/>
      <c r="F27" s="2"/>
      <c r="G27" s="13"/>
      <c r="H27" s="2"/>
      <c r="I27" s="2"/>
      <c r="J27" s="5"/>
    </row>
    <row r="28" spans="2:10" x14ac:dyDescent="0.3">
      <c r="B28" s="2">
        <v>21</v>
      </c>
      <c r="C28" s="2"/>
      <c r="D28" s="2"/>
      <c r="E28" s="2"/>
      <c r="F28" s="2"/>
      <c r="G28" s="13"/>
      <c r="H28" s="2"/>
      <c r="I28" s="2"/>
      <c r="J28" s="5"/>
    </row>
    <row r="29" spans="2:10" x14ac:dyDescent="0.3">
      <c r="B29" s="2">
        <v>22</v>
      </c>
      <c r="C29" s="4"/>
      <c r="D29" s="2"/>
      <c r="E29" s="2"/>
      <c r="F29" s="2"/>
      <c r="G29" s="13"/>
      <c r="H29" s="2"/>
      <c r="I29" s="2"/>
      <c r="J29" s="2"/>
    </row>
    <row r="30" spans="2:10" x14ac:dyDescent="0.3">
      <c r="B30" s="2">
        <v>23</v>
      </c>
      <c r="C30" s="4"/>
      <c r="D30" s="2"/>
      <c r="E30" s="2"/>
      <c r="F30" s="2"/>
      <c r="G30" s="13"/>
      <c r="H30" s="2"/>
      <c r="I30" s="2"/>
      <c r="J30" s="2"/>
    </row>
    <row r="31" spans="2:10" ht="26.25" x14ac:dyDescent="0.3">
      <c r="B31" s="9" t="s">
        <v>11</v>
      </c>
      <c r="C31" s="7"/>
      <c r="D31" s="7"/>
      <c r="E31" s="7"/>
      <c r="F31" s="7"/>
      <c r="G31" s="7"/>
      <c r="H31" s="7"/>
      <c r="I31" s="7"/>
      <c r="J31" s="8"/>
    </row>
    <row r="32" spans="2:10" x14ac:dyDescent="0.3">
      <c r="B32" s="6" t="s">
        <v>12</v>
      </c>
      <c r="C32" s="6" t="s">
        <v>3</v>
      </c>
      <c r="D32" s="6" t="s">
        <v>4</v>
      </c>
      <c r="E32" s="6" t="s">
        <v>5</v>
      </c>
      <c r="F32" s="6" t="s">
        <v>13</v>
      </c>
      <c r="G32" s="6" t="s">
        <v>176</v>
      </c>
      <c r="H32" s="6" t="s">
        <v>14</v>
      </c>
      <c r="I32" s="6" t="s">
        <v>8</v>
      </c>
      <c r="J32" s="6" t="s">
        <v>9</v>
      </c>
    </row>
    <row r="33" spans="2:10" x14ac:dyDescent="0.3">
      <c r="B33" s="2">
        <v>1</v>
      </c>
      <c r="C33" s="2" t="s">
        <v>74</v>
      </c>
      <c r="D33" s="2" t="s">
        <v>184</v>
      </c>
      <c r="E33" s="2" t="s">
        <v>76</v>
      </c>
      <c r="F33" s="2" t="s">
        <v>77</v>
      </c>
      <c r="G33" s="12" t="s">
        <v>78</v>
      </c>
      <c r="H33" s="12" t="s">
        <v>79</v>
      </c>
      <c r="I33" s="2" t="s">
        <v>80</v>
      </c>
      <c r="J33" s="2" t="s">
        <v>81</v>
      </c>
    </row>
    <row r="34" spans="2:10" x14ac:dyDescent="0.3">
      <c r="B34" s="2">
        <v>2</v>
      </c>
      <c r="C34" s="2" t="s">
        <v>82</v>
      </c>
      <c r="D34" s="2" t="s">
        <v>183</v>
      </c>
      <c r="E34" s="2" t="s">
        <v>84</v>
      </c>
      <c r="F34" s="2" t="s">
        <v>27</v>
      </c>
      <c r="G34" s="12" t="s">
        <v>78</v>
      </c>
      <c r="H34" s="12" t="s">
        <v>79</v>
      </c>
      <c r="I34" s="2" t="s">
        <v>85</v>
      </c>
      <c r="J34" s="2" t="s">
        <v>86</v>
      </c>
    </row>
    <row r="35" spans="2:10" x14ac:dyDescent="0.3">
      <c r="B35" s="2">
        <v>3</v>
      </c>
      <c r="C35" s="2" t="s">
        <v>87</v>
      </c>
      <c r="D35" s="2" t="s">
        <v>182</v>
      </c>
      <c r="E35" s="2" t="s">
        <v>88</v>
      </c>
      <c r="F35" s="2" t="s">
        <v>195</v>
      </c>
      <c r="G35" s="12" t="s">
        <v>78</v>
      </c>
      <c r="H35" s="12" t="s">
        <v>79</v>
      </c>
      <c r="I35" s="2" t="s">
        <v>90</v>
      </c>
      <c r="J35" s="2" t="s">
        <v>91</v>
      </c>
    </row>
    <row r="36" spans="2:10" x14ac:dyDescent="0.3">
      <c r="B36" s="2">
        <v>4</v>
      </c>
      <c r="C36" s="2" t="s">
        <v>97</v>
      </c>
      <c r="D36" s="2" t="s">
        <v>183</v>
      </c>
      <c r="E36" s="2" t="s">
        <v>98</v>
      </c>
      <c r="F36" s="2" t="s">
        <v>99</v>
      </c>
      <c r="G36" s="12" t="s">
        <v>100</v>
      </c>
      <c r="H36" s="12" t="s">
        <v>79</v>
      </c>
      <c r="I36" s="2" t="s">
        <v>67</v>
      </c>
      <c r="J36" s="2" t="s">
        <v>101</v>
      </c>
    </row>
    <row r="37" spans="2:10" x14ac:dyDescent="0.3">
      <c r="B37" s="2">
        <v>5</v>
      </c>
      <c r="C37" s="2" t="s">
        <v>102</v>
      </c>
      <c r="D37" s="2" t="s">
        <v>103</v>
      </c>
      <c r="E37" s="2" t="s">
        <v>104</v>
      </c>
      <c r="F37" s="2" t="s">
        <v>27</v>
      </c>
      <c r="G37" s="12" t="s">
        <v>100</v>
      </c>
      <c r="H37" s="12" t="s">
        <v>79</v>
      </c>
      <c r="I37" s="2" t="s">
        <v>80</v>
      </c>
      <c r="J37" s="2" t="s">
        <v>105</v>
      </c>
    </row>
    <row r="38" spans="2:10" x14ac:dyDescent="0.3">
      <c r="B38" s="2">
        <v>6</v>
      </c>
      <c r="C38" s="2" t="s">
        <v>102</v>
      </c>
      <c r="D38" s="2" t="s">
        <v>41</v>
      </c>
      <c r="E38" s="2" t="s">
        <v>106</v>
      </c>
      <c r="F38" s="2" t="s">
        <v>27</v>
      </c>
      <c r="G38" s="12" t="s">
        <v>100</v>
      </c>
      <c r="H38" s="12" t="s">
        <v>79</v>
      </c>
      <c r="I38" s="2" t="s">
        <v>107</v>
      </c>
      <c r="J38" s="2" t="s">
        <v>49</v>
      </c>
    </row>
    <row r="39" spans="2:10" x14ac:dyDescent="0.3">
      <c r="B39" s="2">
        <v>7</v>
      </c>
      <c r="C39" s="2" t="s">
        <v>108</v>
      </c>
      <c r="D39" s="2" t="s">
        <v>185</v>
      </c>
      <c r="E39" s="2" t="s">
        <v>109</v>
      </c>
      <c r="F39" s="2" t="s">
        <v>27</v>
      </c>
      <c r="G39" s="12" t="s">
        <v>100</v>
      </c>
      <c r="H39" s="12" t="s">
        <v>110</v>
      </c>
      <c r="I39" s="2" t="s">
        <v>111</v>
      </c>
      <c r="J39" s="2" t="s">
        <v>112</v>
      </c>
    </row>
    <row r="40" spans="2:10" x14ac:dyDescent="0.3">
      <c r="B40" s="2">
        <v>8</v>
      </c>
      <c r="C40" s="2" t="s">
        <v>113</v>
      </c>
      <c r="D40" s="2" t="s">
        <v>182</v>
      </c>
      <c r="E40" s="2" t="s">
        <v>114</v>
      </c>
      <c r="F40" s="2" t="s">
        <v>99</v>
      </c>
      <c r="G40" s="12" t="s">
        <v>100</v>
      </c>
      <c r="H40" s="12" t="s">
        <v>79</v>
      </c>
      <c r="I40" s="2" t="s">
        <v>115</v>
      </c>
      <c r="J40" s="2" t="s">
        <v>116</v>
      </c>
    </row>
    <row r="41" spans="2:10" x14ac:dyDescent="0.3">
      <c r="B41" s="2">
        <v>9</v>
      </c>
      <c r="C41" s="2" t="s">
        <v>117</v>
      </c>
      <c r="D41" s="2" t="s">
        <v>103</v>
      </c>
      <c r="E41" s="2" t="s">
        <v>118</v>
      </c>
      <c r="F41" s="2" t="s">
        <v>27</v>
      </c>
      <c r="G41" s="12" t="s">
        <v>119</v>
      </c>
      <c r="H41" s="12" t="s">
        <v>110</v>
      </c>
      <c r="I41" s="2" t="s">
        <v>120</v>
      </c>
      <c r="J41" s="2" t="s">
        <v>121</v>
      </c>
    </row>
    <row r="42" spans="2:10" x14ac:dyDescent="0.3">
      <c r="B42" s="2">
        <v>10</v>
      </c>
      <c r="C42" s="2" t="s">
        <v>122</v>
      </c>
      <c r="D42" s="2" t="s">
        <v>103</v>
      </c>
      <c r="E42" s="2" t="s">
        <v>123</v>
      </c>
      <c r="F42" s="2" t="s">
        <v>27</v>
      </c>
      <c r="G42" s="12" t="s">
        <v>119</v>
      </c>
      <c r="H42" s="12" t="s">
        <v>110</v>
      </c>
      <c r="I42" s="2" t="s">
        <v>80</v>
      </c>
      <c r="J42" s="2" t="s">
        <v>124</v>
      </c>
    </row>
    <row r="43" spans="2:10" x14ac:dyDescent="0.3">
      <c r="B43" s="2">
        <v>11</v>
      </c>
      <c r="C43" s="2" t="s">
        <v>122</v>
      </c>
      <c r="D43" s="2" t="s">
        <v>32</v>
      </c>
      <c r="E43" s="2" t="s">
        <v>125</v>
      </c>
      <c r="F43" s="2" t="s">
        <v>27</v>
      </c>
      <c r="G43" s="12" t="s">
        <v>119</v>
      </c>
      <c r="H43" s="12" t="s">
        <v>79</v>
      </c>
      <c r="I43" s="2" t="s">
        <v>126</v>
      </c>
      <c r="J43" s="2" t="s">
        <v>127</v>
      </c>
    </row>
    <row r="44" spans="2:10" x14ac:dyDescent="0.3">
      <c r="B44" s="2">
        <v>12</v>
      </c>
      <c r="C44" s="2" t="s">
        <v>128</v>
      </c>
      <c r="D44" s="2" t="s">
        <v>183</v>
      </c>
      <c r="E44" s="2" t="s">
        <v>129</v>
      </c>
      <c r="F44" s="2" t="s">
        <v>99</v>
      </c>
      <c r="G44" s="12" t="s">
        <v>119</v>
      </c>
      <c r="H44" s="12" t="s">
        <v>79</v>
      </c>
      <c r="I44" s="2" t="s">
        <v>72</v>
      </c>
      <c r="J44" s="2" t="s">
        <v>130</v>
      </c>
    </row>
    <row r="45" spans="2:10" x14ac:dyDescent="0.3">
      <c r="B45" s="2">
        <v>13</v>
      </c>
      <c r="C45" s="2" t="s">
        <v>128</v>
      </c>
      <c r="D45" s="2" t="s">
        <v>183</v>
      </c>
      <c r="E45" s="2" t="s">
        <v>131</v>
      </c>
      <c r="F45" s="2" t="s">
        <v>99</v>
      </c>
      <c r="G45" s="12" t="s">
        <v>119</v>
      </c>
      <c r="H45" s="12" t="s">
        <v>79</v>
      </c>
      <c r="I45" s="2" t="s">
        <v>72</v>
      </c>
      <c r="J45" s="2" t="s">
        <v>132</v>
      </c>
    </row>
    <row r="46" spans="2:10" x14ac:dyDescent="0.3">
      <c r="B46" s="2">
        <v>14</v>
      </c>
      <c r="C46" s="2" t="s">
        <v>128</v>
      </c>
      <c r="D46" s="2" t="s">
        <v>183</v>
      </c>
      <c r="E46" s="2" t="s">
        <v>133</v>
      </c>
      <c r="F46" s="2" t="s">
        <v>99</v>
      </c>
      <c r="G46" s="12" t="s">
        <v>119</v>
      </c>
      <c r="H46" s="12" t="s">
        <v>79</v>
      </c>
      <c r="I46" s="2" t="s">
        <v>72</v>
      </c>
      <c r="J46" s="2" t="s">
        <v>132</v>
      </c>
    </row>
    <row r="47" spans="2:10" x14ac:dyDescent="0.3">
      <c r="B47" s="2">
        <v>15</v>
      </c>
      <c r="C47" s="2" t="s">
        <v>134</v>
      </c>
      <c r="D47" s="2" t="s">
        <v>103</v>
      </c>
      <c r="E47" s="2" t="s">
        <v>135</v>
      </c>
      <c r="F47" s="2" t="s">
        <v>27</v>
      </c>
      <c r="G47" s="12" t="s">
        <v>79</v>
      </c>
      <c r="H47" s="12" t="s">
        <v>136</v>
      </c>
      <c r="I47" s="2" t="s">
        <v>137</v>
      </c>
      <c r="J47" s="2" t="s">
        <v>138</v>
      </c>
    </row>
    <row r="48" spans="2:10" x14ac:dyDescent="0.3">
      <c r="B48" s="2">
        <v>16</v>
      </c>
      <c r="C48" s="2" t="s">
        <v>63</v>
      </c>
      <c r="D48" s="2" t="s">
        <v>64</v>
      </c>
      <c r="E48" s="2" t="s">
        <v>139</v>
      </c>
      <c r="F48" s="2" t="s">
        <v>27</v>
      </c>
      <c r="G48" s="12" t="s">
        <v>79</v>
      </c>
      <c r="H48" s="12" t="s">
        <v>110</v>
      </c>
      <c r="I48" s="2" t="s">
        <v>140</v>
      </c>
      <c r="J48" s="2" t="s">
        <v>141</v>
      </c>
    </row>
    <row r="49" spans="2:10" x14ac:dyDescent="0.3">
      <c r="B49" s="2">
        <v>17</v>
      </c>
      <c r="C49" s="2" t="s">
        <v>142</v>
      </c>
      <c r="D49" s="2" t="s">
        <v>64</v>
      </c>
      <c r="E49" s="2" t="s">
        <v>143</v>
      </c>
      <c r="F49" s="2" t="s">
        <v>27</v>
      </c>
      <c r="G49" s="12" t="s">
        <v>79</v>
      </c>
      <c r="H49" s="12" t="s">
        <v>79</v>
      </c>
      <c r="I49" s="2" t="s">
        <v>85</v>
      </c>
      <c r="J49" s="2" t="s">
        <v>144</v>
      </c>
    </row>
    <row r="50" spans="2:10" x14ac:dyDescent="0.3">
      <c r="B50" s="2">
        <v>18</v>
      </c>
      <c r="C50" s="2" t="s">
        <v>145</v>
      </c>
      <c r="D50" s="2" t="s">
        <v>59</v>
      </c>
      <c r="E50" s="2" t="s">
        <v>146</v>
      </c>
      <c r="F50" s="2" t="s">
        <v>27</v>
      </c>
      <c r="G50" s="12" t="s">
        <v>79</v>
      </c>
      <c r="H50" s="12" t="s">
        <v>136</v>
      </c>
      <c r="I50" s="2" t="s">
        <v>147</v>
      </c>
      <c r="J50" s="2" t="s">
        <v>148</v>
      </c>
    </row>
    <row r="51" spans="2:10" x14ac:dyDescent="0.3">
      <c r="B51" s="2">
        <v>19</v>
      </c>
      <c r="C51" s="2" t="s">
        <v>31</v>
      </c>
      <c r="D51" s="2" t="s">
        <v>64</v>
      </c>
      <c r="E51" s="2" t="s">
        <v>149</v>
      </c>
      <c r="F51" s="2" t="s">
        <v>150</v>
      </c>
      <c r="G51" s="12" t="s">
        <v>79</v>
      </c>
      <c r="H51" s="12" t="s">
        <v>136</v>
      </c>
      <c r="I51" s="2" t="s">
        <v>151</v>
      </c>
      <c r="J51" s="2" t="s">
        <v>152</v>
      </c>
    </row>
    <row r="52" spans="2:10" x14ac:dyDescent="0.3">
      <c r="B52" s="2">
        <v>20</v>
      </c>
      <c r="C52" s="2" t="s">
        <v>36</v>
      </c>
      <c r="D52" s="2" t="s">
        <v>103</v>
      </c>
      <c r="E52" s="2" t="s">
        <v>153</v>
      </c>
      <c r="F52" s="2" t="s">
        <v>27</v>
      </c>
      <c r="G52" s="12" t="s">
        <v>79</v>
      </c>
      <c r="H52" s="12" t="s">
        <v>136</v>
      </c>
      <c r="I52" s="2" t="s">
        <v>154</v>
      </c>
      <c r="J52" s="2" t="s">
        <v>155</v>
      </c>
    </row>
    <row r="53" spans="2:10" x14ac:dyDescent="0.3">
      <c r="B53" s="2">
        <v>21</v>
      </c>
      <c r="C53" s="2" t="s">
        <v>40</v>
      </c>
      <c r="D53" s="2" t="s">
        <v>32</v>
      </c>
      <c r="E53" s="2" t="s">
        <v>156</v>
      </c>
      <c r="F53" s="2" t="s">
        <v>27</v>
      </c>
      <c r="G53" s="12" t="s">
        <v>79</v>
      </c>
      <c r="H53" s="12" t="s">
        <v>110</v>
      </c>
      <c r="I53" s="2" t="s">
        <v>157</v>
      </c>
      <c r="J53" s="2" t="s">
        <v>158</v>
      </c>
    </row>
    <row r="54" spans="2:10" x14ac:dyDescent="0.3">
      <c r="B54" s="2">
        <v>22</v>
      </c>
      <c r="C54" s="2" t="s">
        <v>159</v>
      </c>
      <c r="D54" s="2" t="s">
        <v>103</v>
      </c>
      <c r="E54" s="2" t="s">
        <v>160</v>
      </c>
      <c r="F54" s="2" t="s">
        <v>27</v>
      </c>
      <c r="G54" s="12" t="s">
        <v>79</v>
      </c>
      <c r="H54" s="12" t="s">
        <v>110</v>
      </c>
      <c r="I54" s="2" t="s">
        <v>161</v>
      </c>
      <c r="J54" s="2" t="s">
        <v>162</v>
      </c>
    </row>
    <row r="55" spans="2:10" x14ac:dyDescent="0.3">
      <c r="B55" s="2">
        <v>23</v>
      </c>
      <c r="C55" s="2" t="s">
        <v>46</v>
      </c>
      <c r="D55" s="2" t="s">
        <v>103</v>
      </c>
      <c r="E55" s="2" t="s">
        <v>163</v>
      </c>
      <c r="F55" s="2" t="s">
        <v>99</v>
      </c>
      <c r="G55" s="12" t="s">
        <v>79</v>
      </c>
      <c r="H55" s="12" t="s">
        <v>136</v>
      </c>
      <c r="I55" s="2" t="s">
        <v>80</v>
      </c>
      <c r="J55" s="2" t="s">
        <v>164</v>
      </c>
    </row>
    <row r="56" spans="2:10" x14ac:dyDescent="0.3">
      <c r="B56" s="2">
        <v>24</v>
      </c>
      <c r="C56" s="2" t="s">
        <v>165</v>
      </c>
      <c r="D56" s="2" t="s">
        <v>64</v>
      </c>
      <c r="E56" s="2" t="s">
        <v>166</v>
      </c>
      <c r="F56" s="2" t="s">
        <v>99</v>
      </c>
      <c r="G56" s="12" t="s">
        <v>79</v>
      </c>
      <c r="H56" s="12" t="s">
        <v>79</v>
      </c>
      <c r="I56" s="2" t="s">
        <v>167</v>
      </c>
      <c r="J56" s="2" t="s">
        <v>168</v>
      </c>
    </row>
    <row r="57" spans="2:10" x14ac:dyDescent="0.3">
      <c r="B57" s="2">
        <v>25</v>
      </c>
      <c r="C57" s="2" t="s">
        <v>165</v>
      </c>
      <c r="D57" s="2" t="s">
        <v>41</v>
      </c>
      <c r="E57" s="2" t="s">
        <v>169</v>
      </c>
      <c r="F57" s="2" t="s">
        <v>77</v>
      </c>
      <c r="G57" s="12" t="s">
        <v>79</v>
      </c>
      <c r="H57" s="12" t="s">
        <v>170</v>
      </c>
      <c r="I57" s="2" t="s">
        <v>48</v>
      </c>
      <c r="J57" s="2" t="s">
        <v>171</v>
      </c>
    </row>
    <row r="58" spans="2:10" x14ac:dyDescent="0.3">
      <c r="B58" s="2">
        <v>26</v>
      </c>
      <c r="C58" s="2" t="s">
        <v>165</v>
      </c>
      <c r="D58" s="2" t="s">
        <v>41</v>
      </c>
      <c r="E58" s="2" t="s">
        <v>172</v>
      </c>
      <c r="F58" s="2" t="s">
        <v>150</v>
      </c>
      <c r="G58" s="12" t="s">
        <v>110</v>
      </c>
      <c r="H58" s="12" t="s">
        <v>110</v>
      </c>
      <c r="I58" s="2" t="s">
        <v>48</v>
      </c>
      <c r="J58" s="2" t="s">
        <v>171</v>
      </c>
    </row>
    <row r="59" spans="2:10" x14ac:dyDescent="0.3">
      <c r="B59" s="2">
        <v>27</v>
      </c>
      <c r="C59" s="2" t="s">
        <v>173</v>
      </c>
      <c r="D59" s="2" t="s">
        <v>103</v>
      </c>
      <c r="E59" s="2" t="s">
        <v>174</v>
      </c>
      <c r="F59" s="2" t="s">
        <v>27</v>
      </c>
      <c r="G59" s="12" t="s">
        <v>110</v>
      </c>
      <c r="H59" s="12" t="s">
        <v>170</v>
      </c>
      <c r="I59" s="2" t="s">
        <v>80</v>
      </c>
      <c r="J59" s="2" t="s">
        <v>175</v>
      </c>
    </row>
    <row r="60" spans="2:10" x14ac:dyDescent="0.3">
      <c r="B60" s="2">
        <v>28</v>
      </c>
      <c r="C60" s="4" t="s">
        <v>186</v>
      </c>
      <c r="D60" s="2" t="s">
        <v>185</v>
      </c>
      <c r="E60" s="2" t="s">
        <v>187</v>
      </c>
      <c r="F60" s="2" t="s">
        <v>188</v>
      </c>
      <c r="G60" s="12" t="s">
        <v>189</v>
      </c>
      <c r="H60" s="12" t="s">
        <v>190</v>
      </c>
      <c r="I60" s="2" t="s">
        <v>191</v>
      </c>
      <c r="J60" s="2" t="s">
        <v>192</v>
      </c>
    </row>
    <row r="61" spans="2:10" x14ac:dyDescent="0.3">
      <c r="B61" s="1"/>
      <c r="C61" s="1"/>
      <c r="D61" s="1"/>
      <c r="E61" s="1"/>
      <c r="F61" s="1"/>
      <c r="G61" s="14"/>
      <c r="H61" s="14"/>
      <c r="I61" s="1"/>
      <c r="J61" s="1"/>
    </row>
    <row r="62" spans="2:10" ht="20.25" x14ac:dyDescent="0.3">
      <c r="B62" s="72" t="s">
        <v>180</v>
      </c>
      <c r="C62" s="73"/>
      <c r="D62" s="73"/>
      <c r="E62" s="73"/>
      <c r="F62" s="73"/>
      <c r="G62" s="73"/>
      <c r="H62" s="73"/>
      <c r="I62" s="73"/>
      <c r="J62" s="74"/>
    </row>
  </sheetData>
  <customSheetViews>
    <customSheetView guid="{7A761F1B-9457-4EED-8EFC-CFF5C63E791B}" scale="85" topLeftCell="A24">
      <selection activeCell="G66" sqref="G66"/>
      <pageMargins left="0.7" right="0.7" top="0.75" bottom="0.75" header="0.3" footer="0.3"/>
      <pageSetup paperSize="9" orientation="portrait" r:id="rId1"/>
    </customSheetView>
  </customSheetViews>
  <mergeCells count="7">
    <mergeCell ref="B62:J62"/>
    <mergeCell ref="B2:J3"/>
    <mergeCell ref="D4:E4"/>
    <mergeCell ref="D5:E5"/>
    <mergeCell ref="B6:J6"/>
    <mergeCell ref="I4:J5"/>
    <mergeCell ref="F4:H5"/>
  </mergeCells>
  <phoneticPr fontId="1" type="noConversion"/>
  <conditionalFormatting sqref="C30:J30 C40:J40 C44:J44 C48:J48 C52:J52 C56:J56 C60:J60 D45:D46 C35:J36">
    <cfRule type="expression" dxfId="77" priority="13">
      <formula>$C31&lt;&gt;" "</formula>
    </cfRule>
    <cfRule type="expression" dxfId="76" priority="14">
      <formula>$C$7</formula>
    </cfRule>
  </conditionalFormatting>
  <conditionalFormatting sqref="C26:J26 B36:B60 C37:J37 C41:J41 C45:J45 C49:J49 C53:J53 C57:J57 C39:J39 C43:J43 C47:J47 C51:J51 C55:J55 C59:J59">
    <cfRule type="expression" dxfId="75" priority="15">
      <formula>$C29&lt;&gt;" "</formula>
    </cfRule>
    <cfRule type="expression" dxfId="74" priority="16">
      <formula>$C$7</formula>
    </cfRule>
  </conditionalFormatting>
  <conditionalFormatting sqref="C27:J27 C34:J34 B34:B36 B38:J38 B40 B42:J42 B44 B46:J46 B48 B50:J50 B52 B54:J54 B56 B58:J58">
    <cfRule type="expression" dxfId="73" priority="11">
      <formula>$C29&lt;&gt;" "</formula>
    </cfRule>
    <cfRule type="expression" dxfId="72" priority="12">
      <formula>$C$7</formula>
    </cfRule>
  </conditionalFormatting>
  <conditionalFormatting sqref="B7:J7">
    <cfRule type="expression" dxfId="71" priority="9">
      <formula>$C29&lt;&gt;" "</formula>
    </cfRule>
    <cfRule type="expression" dxfId="70" priority="10">
      <formula>$C$7</formula>
    </cfRule>
  </conditionalFormatting>
  <conditionalFormatting sqref="C19:J22">
    <cfRule type="expression" dxfId="69" priority="19">
      <formula>$C27&lt;&gt;" "</formula>
    </cfRule>
    <cfRule type="expression" dxfId="68" priority="20">
      <formula>$C$7</formula>
    </cfRule>
  </conditionalFormatting>
  <conditionalFormatting sqref="B9:J9">
    <cfRule type="expression" dxfId="67" priority="3">
      <formula>$C12&lt;&gt;" "</formula>
    </cfRule>
    <cfRule type="expression" dxfId="66" priority="4">
      <formula>$C$7</formula>
    </cfRule>
  </conditionalFormatting>
  <conditionalFormatting sqref="C10:J10">
    <cfRule type="expression" dxfId="65" priority="1">
      <formula>$C12&lt;&gt;" "</formula>
    </cfRule>
    <cfRule type="expression" dxfId="64" priority="2">
      <formula>$C$7</formula>
    </cfRule>
  </conditionalFormatting>
  <conditionalFormatting sqref="B11:J11">
    <cfRule type="expression" dxfId="63" priority="5">
      <formula>$B27&lt;&gt;" "</formula>
    </cfRule>
    <cfRule type="expression" dxfId="62" priority="6">
      <formula>$C$7</formula>
    </cfRule>
  </conditionalFormatting>
  <conditionalFormatting sqref="B10 B12:B14">
    <cfRule type="expression" dxfId="61" priority="7">
      <formula>$C26&lt;&gt;" "</formula>
    </cfRule>
    <cfRule type="expression" dxfId="60" priority="8">
      <formula>$C$7</formula>
    </cfRule>
  </conditionalFormatting>
  <conditionalFormatting sqref="B8:J8">
    <cfRule type="expression" dxfId="59" priority="21">
      <formula>$C28&lt;&gt;" "</formula>
    </cfRule>
    <cfRule type="expression" dxfId="58" priority="22">
      <formula>$C$7</formula>
    </cfRule>
  </conditionalFormatting>
  <conditionalFormatting sqref="C12:J16 B18:B21">
    <cfRule type="expression" dxfId="57" priority="23">
      <formula>$C26&lt;&gt;" "</formula>
    </cfRule>
    <cfRule type="expression" dxfId="56" priority="24">
      <formula>$C$7</formula>
    </cfRule>
  </conditionalFormatting>
  <conditionalFormatting sqref="C25:J25 C23:J23 B15 C29:J29 B17:J17">
    <cfRule type="expression" dxfId="55" priority="25">
      <formula>#REF!&lt;&gt;" "</formula>
    </cfRule>
    <cfRule type="expression" dxfId="54" priority="26">
      <formula>$C$7</formula>
    </cfRule>
  </conditionalFormatting>
  <conditionalFormatting sqref="B16">
    <cfRule type="expression" dxfId="53" priority="27">
      <formula>$C31&lt;&gt;" "</formula>
    </cfRule>
    <cfRule type="expression" dxfId="52" priority="28">
      <formula>$C$7</formula>
    </cfRule>
  </conditionalFormatting>
  <conditionalFormatting sqref="C28:J28">
    <cfRule type="expression" dxfId="51" priority="33">
      <formula>$B31&lt;&gt;" "</formula>
    </cfRule>
    <cfRule type="expression" dxfId="50" priority="34">
      <formula>$C$7</formula>
    </cfRule>
  </conditionalFormatting>
  <conditionalFormatting sqref="C24:J24">
    <cfRule type="expression" dxfId="49" priority="35">
      <formula>$C31&lt;&gt;" "</formula>
    </cfRule>
    <cfRule type="expression" dxfId="48" priority="36">
      <formula>$C$7</formula>
    </cfRule>
  </conditionalFormatting>
  <conditionalFormatting sqref="C18:J18 B23:B30">
    <cfRule type="expression" dxfId="47" priority="37">
      <formula>$C31&lt;&gt;" "</formula>
    </cfRule>
    <cfRule type="expression" dxfId="46" priority="38">
      <formula>$C$7</formula>
    </cfRule>
  </conditionalFormatting>
  <conditionalFormatting sqref="B33:J33 B35 B37 B39 B41 B43 B45 B47 B49 B51 B53 B55 B57 B59">
    <cfRule type="expression" dxfId="45" priority="57">
      <formula>#REF!&lt;&gt;" "</formula>
    </cfRule>
    <cfRule type="expression" dxfId="44" priority="58">
      <formula>$C$7</formula>
    </cfRule>
  </conditionalFormatting>
  <conditionalFormatting sqref="B32:J32">
    <cfRule type="expression" dxfId="43" priority="105">
      <formula>$C36&lt;&gt;" "</formula>
    </cfRule>
    <cfRule type="expression" dxfId="42" priority="106">
      <formula>$C$7</formula>
    </cfRule>
  </conditionalFormatting>
  <conditionalFormatting sqref="B22">
    <cfRule type="expression" dxfId="41" priority="111">
      <formula>#REF!&lt;&gt;" "</formula>
    </cfRule>
    <cfRule type="expression" dxfId="40" priority="112">
      <formula>$C$7</formula>
    </cfRule>
  </conditionalFormatting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3"/>
  <sheetViews>
    <sheetView topLeftCell="A25" zoomScale="85" zoomScaleNormal="85" workbookViewId="0">
      <selection activeCell="M13" sqref="M13"/>
    </sheetView>
  </sheetViews>
  <sheetFormatPr defaultRowHeight="16.5" x14ac:dyDescent="0.3"/>
  <cols>
    <col min="2" max="2" width="10.125" customWidth="1"/>
    <col min="3" max="3" width="17.625" bestFit="1" customWidth="1"/>
    <col min="4" max="4" width="15.375" bestFit="1" customWidth="1"/>
    <col min="5" max="5" width="9.25" bestFit="1" customWidth="1"/>
    <col min="6" max="6" width="15.125" bestFit="1" customWidth="1"/>
    <col min="7" max="8" width="23.5" customWidth="1"/>
    <col min="9" max="9" width="30.375" bestFit="1" customWidth="1"/>
    <col min="10" max="10" width="28.25" bestFit="1" customWidth="1"/>
  </cols>
  <sheetData>
    <row r="2" spans="2:10" x14ac:dyDescent="0.3">
      <c r="B2" s="75" t="s">
        <v>178</v>
      </c>
      <c r="C2" s="76"/>
      <c r="D2" s="76"/>
      <c r="E2" s="76"/>
      <c r="F2" s="76"/>
      <c r="G2" s="76"/>
      <c r="H2" s="76"/>
      <c r="I2" s="76"/>
      <c r="J2" s="77"/>
    </row>
    <row r="3" spans="2:10" x14ac:dyDescent="0.3">
      <c r="B3" s="78"/>
      <c r="C3" s="79"/>
      <c r="D3" s="79"/>
      <c r="E3" s="79"/>
      <c r="F3" s="79"/>
      <c r="G3" s="79"/>
      <c r="H3" s="79"/>
      <c r="I3" s="79"/>
      <c r="J3" s="80"/>
    </row>
    <row r="4" spans="2:10" ht="26.25" x14ac:dyDescent="0.3">
      <c r="B4" s="10" t="s">
        <v>0</v>
      </c>
      <c r="C4" s="11"/>
      <c r="D4" s="81">
        <f>COUNT(B8:B21)</f>
        <v>14</v>
      </c>
      <c r="E4" s="82"/>
      <c r="F4" s="83" t="s">
        <v>181</v>
      </c>
      <c r="G4" s="84"/>
      <c r="H4" s="84"/>
      <c r="I4" s="87" t="s">
        <v>179</v>
      </c>
      <c r="J4" s="88"/>
    </row>
    <row r="5" spans="2:10" ht="26.25" x14ac:dyDescent="0.3">
      <c r="B5" s="10" t="s">
        <v>1</v>
      </c>
      <c r="C5" s="11"/>
      <c r="D5" s="81">
        <f>COUNT(B33:B60)</f>
        <v>28</v>
      </c>
      <c r="E5" s="82"/>
      <c r="F5" s="85"/>
      <c r="G5" s="86"/>
      <c r="H5" s="86"/>
      <c r="I5" s="89"/>
      <c r="J5" s="90"/>
    </row>
    <row r="6" spans="2:10" ht="26.25" x14ac:dyDescent="0.3">
      <c r="B6" s="91" t="s">
        <v>2</v>
      </c>
      <c r="C6" s="92"/>
      <c r="D6" s="92"/>
      <c r="E6" s="92"/>
      <c r="F6" s="92"/>
      <c r="G6" s="92"/>
      <c r="H6" s="92"/>
      <c r="I6" s="92"/>
      <c r="J6" s="93"/>
    </row>
    <row r="7" spans="2:10" x14ac:dyDescent="0.3">
      <c r="B7" s="3" t="s">
        <v>12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</row>
    <row r="8" spans="2:10" x14ac:dyDescent="0.3">
      <c r="B8" s="2">
        <v>1</v>
      </c>
      <c r="C8" s="4" t="s">
        <v>22</v>
      </c>
      <c r="D8" s="2" t="s">
        <v>16</v>
      </c>
      <c r="E8" s="2" t="s">
        <v>17</v>
      </c>
      <c r="F8" s="2" t="s">
        <v>18</v>
      </c>
      <c r="G8" s="13" t="s">
        <v>19</v>
      </c>
      <c r="H8" s="2" t="s">
        <v>20</v>
      </c>
      <c r="I8" s="2" t="s">
        <v>21</v>
      </c>
      <c r="J8" s="5">
        <v>765000</v>
      </c>
    </row>
    <row r="9" spans="2:10" x14ac:dyDescent="0.3">
      <c r="B9" s="2">
        <v>2</v>
      </c>
      <c r="C9" s="4" t="s">
        <v>15</v>
      </c>
      <c r="D9" s="2" t="s">
        <v>16</v>
      </c>
      <c r="E9" s="2" t="s">
        <v>177</v>
      </c>
      <c r="F9" s="2" t="s">
        <v>23</v>
      </c>
      <c r="G9" s="13" t="s">
        <v>19</v>
      </c>
      <c r="H9" s="2" t="s">
        <v>24</v>
      </c>
      <c r="I9" s="2" t="s">
        <v>25</v>
      </c>
      <c r="J9" s="5">
        <v>1500000</v>
      </c>
    </row>
    <row r="10" spans="2:10" x14ac:dyDescent="0.3">
      <c r="B10" s="2">
        <v>3</v>
      </c>
      <c r="C10" s="4" t="s">
        <v>15</v>
      </c>
      <c r="D10" s="2" t="s">
        <v>16</v>
      </c>
      <c r="E10" s="2" t="s">
        <v>26</v>
      </c>
      <c r="F10" s="2" t="s">
        <v>27</v>
      </c>
      <c r="G10" s="13" t="s">
        <v>19</v>
      </c>
      <c r="H10" s="2" t="s">
        <v>28</v>
      </c>
      <c r="I10" s="2" t="s">
        <v>29</v>
      </c>
      <c r="J10" s="5">
        <v>2750000</v>
      </c>
    </row>
    <row r="11" spans="2:10" x14ac:dyDescent="0.3">
      <c r="B11" s="2">
        <v>4</v>
      </c>
      <c r="C11" s="2" t="s">
        <v>15</v>
      </c>
      <c r="D11" s="2" t="s">
        <v>16</v>
      </c>
      <c r="E11" s="2" t="s">
        <v>30</v>
      </c>
      <c r="F11" s="2" t="s">
        <v>27</v>
      </c>
      <c r="G11" s="13" t="s">
        <v>19</v>
      </c>
      <c r="H11" s="2" t="s">
        <v>28</v>
      </c>
      <c r="I11" s="2" t="s">
        <v>29</v>
      </c>
      <c r="J11" s="5">
        <v>2750000</v>
      </c>
    </row>
    <row r="12" spans="2:10" x14ac:dyDescent="0.3">
      <c r="B12" s="2">
        <v>5</v>
      </c>
      <c r="C12" s="4" t="s">
        <v>31</v>
      </c>
      <c r="D12" s="2" t="s">
        <v>32</v>
      </c>
      <c r="E12" s="2" t="s">
        <v>33</v>
      </c>
      <c r="F12" s="2" t="s">
        <v>27</v>
      </c>
      <c r="G12" s="13" t="s">
        <v>19</v>
      </c>
      <c r="H12" s="2" t="s">
        <v>34</v>
      </c>
      <c r="I12" s="2" t="s">
        <v>35</v>
      </c>
      <c r="J12" s="2"/>
    </row>
    <row r="13" spans="2:10" x14ac:dyDescent="0.3">
      <c r="B13" s="2">
        <v>6</v>
      </c>
      <c r="C13" s="4" t="s">
        <v>36</v>
      </c>
      <c r="D13" s="2" t="s">
        <v>16</v>
      </c>
      <c r="E13" s="2" t="s">
        <v>37</v>
      </c>
      <c r="F13" s="2" t="s">
        <v>23</v>
      </c>
      <c r="G13" s="13" t="s">
        <v>19</v>
      </c>
      <c r="H13" s="2" t="s">
        <v>38</v>
      </c>
      <c r="I13" s="2" t="s">
        <v>39</v>
      </c>
      <c r="J13" s="2"/>
    </row>
    <row r="14" spans="2:10" x14ac:dyDescent="0.3">
      <c r="B14" s="2">
        <v>7</v>
      </c>
      <c r="C14" s="4" t="s">
        <v>40</v>
      </c>
      <c r="D14" s="2" t="s">
        <v>41</v>
      </c>
      <c r="E14" s="2" t="s">
        <v>42</v>
      </c>
      <c r="F14" s="2" t="s">
        <v>43</v>
      </c>
      <c r="G14" s="13" t="s">
        <v>19</v>
      </c>
      <c r="H14" s="2" t="s">
        <v>44</v>
      </c>
      <c r="I14" s="2" t="s">
        <v>45</v>
      </c>
      <c r="J14" s="2"/>
    </row>
    <row r="15" spans="2:10" x14ac:dyDescent="0.3">
      <c r="B15" s="2">
        <v>8</v>
      </c>
      <c r="C15" s="4" t="s">
        <v>46</v>
      </c>
      <c r="D15" s="2" t="s">
        <v>41</v>
      </c>
      <c r="E15" s="2" t="s">
        <v>47</v>
      </c>
      <c r="F15" s="2" t="s">
        <v>27</v>
      </c>
      <c r="G15" s="13" t="s">
        <v>19</v>
      </c>
      <c r="H15" s="2" t="s">
        <v>48</v>
      </c>
      <c r="I15" s="2" t="s">
        <v>49</v>
      </c>
      <c r="J15" s="2"/>
    </row>
    <row r="16" spans="2:10" x14ac:dyDescent="0.3">
      <c r="B16" s="2">
        <v>9</v>
      </c>
      <c r="C16" s="4" t="s">
        <v>50</v>
      </c>
      <c r="D16" s="2" t="s">
        <v>41</v>
      </c>
      <c r="E16" s="2" t="s">
        <v>51</v>
      </c>
      <c r="F16" s="2" t="s">
        <v>27</v>
      </c>
      <c r="G16" s="13" t="s">
        <v>52</v>
      </c>
      <c r="H16" s="2" t="s">
        <v>53</v>
      </c>
      <c r="I16" s="2" t="s">
        <v>54</v>
      </c>
      <c r="J16" s="2"/>
    </row>
    <row r="17" spans="2:10" x14ac:dyDescent="0.3">
      <c r="B17" s="2">
        <v>10</v>
      </c>
      <c r="C17" s="4" t="s">
        <v>50</v>
      </c>
      <c r="D17" s="2" t="s">
        <v>16</v>
      </c>
      <c r="E17" s="2" t="s">
        <v>55</v>
      </c>
      <c r="F17" s="2" t="s">
        <v>23</v>
      </c>
      <c r="G17" s="13" t="s">
        <v>52</v>
      </c>
      <c r="H17" s="2" t="s">
        <v>56</v>
      </c>
      <c r="I17" s="2" t="s">
        <v>57</v>
      </c>
      <c r="J17" s="2"/>
    </row>
    <row r="18" spans="2:10" x14ac:dyDescent="0.3">
      <c r="B18" s="2">
        <v>11</v>
      </c>
      <c r="C18" s="4" t="s">
        <v>58</v>
      </c>
      <c r="D18" s="2" t="s">
        <v>59</v>
      </c>
      <c r="E18" s="2" t="s">
        <v>60</v>
      </c>
      <c r="F18" s="2" t="s">
        <v>27</v>
      </c>
      <c r="G18" s="13" t="s">
        <v>52</v>
      </c>
      <c r="H18" s="2" t="s">
        <v>61</v>
      </c>
      <c r="I18" s="2" t="s">
        <v>62</v>
      </c>
      <c r="J18" s="2"/>
    </row>
    <row r="19" spans="2:10" x14ac:dyDescent="0.3">
      <c r="B19" s="2">
        <v>12</v>
      </c>
      <c r="C19" s="4" t="s">
        <v>63</v>
      </c>
      <c r="D19" s="2" t="s">
        <v>64</v>
      </c>
      <c r="E19" s="2" t="s">
        <v>65</v>
      </c>
      <c r="F19" s="2" t="s">
        <v>66</v>
      </c>
      <c r="G19" s="13" t="s">
        <v>52</v>
      </c>
      <c r="H19" s="2" t="s">
        <v>67</v>
      </c>
      <c r="I19" s="2" t="s">
        <v>68</v>
      </c>
      <c r="J19" s="2"/>
    </row>
    <row r="20" spans="2:10" x14ac:dyDescent="0.3">
      <c r="B20" s="2">
        <v>13</v>
      </c>
      <c r="C20" s="4" t="s">
        <v>63</v>
      </c>
      <c r="D20" s="2" t="s">
        <v>64</v>
      </c>
      <c r="E20" s="2" t="s">
        <v>69</v>
      </c>
      <c r="F20" s="2" t="s">
        <v>66</v>
      </c>
      <c r="G20" s="13" t="s">
        <v>52</v>
      </c>
      <c r="H20" s="2" t="s">
        <v>67</v>
      </c>
      <c r="I20" s="2" t="s">
        <v>70</v>
      </c>
      <c r="J20" s="2"/>
    </row>
    <row r="21" spans="2:10" x14ac:dyDescent="0.3">
      <c r="B21" s="2">
        <v>14</v>
      </c>
      <c r="C21" s="4" t="s">
        <v>40</v>
      </c>
      <c r="D21" s="2" t="s">
        <v>64</v>
      </c>
      <c r="E21" s="2" t="s">
        <v>71</v>
      </c>
      <c r="F21" s="2" t="s">
        <v>27</v>
      </c>
      <c r="G21" s="13" t="s">
        <v>52</v>
      </c>
      <c r="H21" s="2" t="s">
        <v>72</v>
      </c>
      <c r="I21" s="2" t="s">
        <v>73</v>
      </c>
      <c r="J21" s="5">
        <v>2500000</v>
      </c>
    </row>
    <row r="22" spans="2:10" x14ac:dyDescent="0.3">
      <c r="B22" s="2">
        <v>15</v>
      </c>
      <c r="C22" s="4"/>
      <c r="D22" s="2"/>
      <c r="E22" s="2"/>
      <c r="F22" s="2"/>
      <c r="G22" s="13"/>
      <c r="H22" s="2"/>
      <c r="I22" s="2"/>
      <c r="J22" s="2"/>
    </row>
    <row r="23" spans="2:10" x14ac:dyDescent="0.3">
      <c r="B23" s="2">
        <v>16</v>
      </c>
      <c r="C23" s="4"/>
      <c r="D23" s="2"/>
      <c r="E23" s="2"/>
      <c r="F23" s="2"/>
      <c r="G23" s="13"/>
      <c r="H23" s="2"/>
      <c r="I23" s="2"/>
      <c r="J23" s="2"/>
    </row>
    <row r="24" spans="2:10" x14ac:dyDescent="0.3">
      <c r="B24" s="2">
        <v>17</v>
      </c>
      <c r="C24" s="4"/>
      <c r="D24" s="2"/>
      <c r="E24" s="2"/>
      <c r="F24" s="2"/>
      <c r="G24" s="13"/>
      <c r="H24" s="2"/>
      <c r="I24" s="2"/>
      <c r="J24" s="2"/>
    </row>
    <row r="25" spans="2:10" x14ac:dyDescent="0.3">
      <c r="B25" s="2">
        <v>18</v>
      </c>
      <c r="C25" s="4"/>
      <c r="D25" s="2"/>
      <c r="E25" s="2"/>
      <c r="F25" s="2"/>
      <c r="G25" s="13"/>
      <c r="H25" s="2"/>
      <c r="I25" s="2"/>
      <c r="J25" s="5"/>
    </row>
    <row r="26" spans="2:10" x14ac:dyDescent="0.3">
      <c r="B26" s="2">
        <v>19</v>
      </c>
      <c r="C26" s="4"/>
      <c r="D26" s="2"/>
      <c r="E26" s="2"/>
      <c r="F26" s="2"/>
      <c r="G26" s="13"/>
      <c r="H26" s="2"/>
      <c r="I26" s="2"/>
      <c r="J26" s="5"/>
    </row>
    <row r="27" spans="2:10" x14ac:dyDescent="0.3">
      <c r="B27" s="2">
        <v>20</v>
      </c>
      <c r="C27" s="4"/>
      <c r="D27" s="2"/>
      <c r="E27" s="2"/>
      <c r="F27" s="2"/>
      <c r="G27" s="13"/>
      <c r="H27" s="2"/>
      <c r="I27" s="2"/>
      <c r="J27" s="5"/>
    </row>
    <row r="28" spans="2:10" x14ac:dyDescent="0.3">
      <c r="B28" s="2">
        <v>21</v>
      </c>
      <c r="C28" s="2"/>
      <c r="D28" s="2"/>
      <c r="E28" s="2"/>
      <c r="F28" s="2"/>
      <c r="G28" s="13"/>
      <c r="H28" s="2"/>
      <c r="I28" s="2"/>
      <c r="J28" s="5"/>
    </row>
    <row r="29" spans="2:10" x14ac:dyDescent="0.3">
      <c r="B29" s="2">
        <v>22</v>
      </c>
      <c r="C29" s="4"/>
      <c r="D29" s="2"/>
      <c r="E29" s="2"/>
      <c r="F29" s="2"/>
      <c r="G29" s="13"/>
      <c r="H29" s="2"/>
      <c r="I29" s="2"/>
      <c r="J29" s="2"/>
    </row>
    <row r="30" spans="2:10" x14ac:dyDescent="0.3">
      <c r="B30" s="2">
        <v>23</v>
      </c>
      <c r="C30" s="4"/>
      <c r="D30" s="2"/>
      <c r="E30" s="2"/>
      <c r="F30" s="2"/>
      <c r="G30" s="13"/>
      <c r="H30" s="2"/>
      <c r="I30" s="2"/>
      <c r="J30" s="2"/>
    </row>
    <row r="31" spans="2:10" ht="26.25" x14ac:dyDescent="0.3">
      <c r="B31" s="9" t="s">
        <v>11</v>
      </c>
      <c r="C31" s="7"/>
      <c r="D31" s="7"/>
      <c r="E31" s="7"/>
      <c r="F31" s="7"/>
      <c r="G31" s="7"/>
      <c r="H31" s="7"/>
      <c r="I31" s="7"/>
      <c r="J31" s="8"/>
    </row>
    <row r="32" spans="2:10" x14ac:dyDescent="0.3">
      <c r="B32" s="6" t="s">
        <v>12</v>
      </c>
      <c r="C32" s="6" t="s">
        <v>3</v>
      </c>
      <c r="D32" s="6" t="s">
        <v>4</v>
      </c>
      <c r="E32" s="6" t="s">
        <v>5</v>
      </c>
      <c r="F32" s="6" t="s">
        <v>13</v>
      </c>
      <c r="G32" s="6" t="s">
        <v>176</v>
      </c>
      <c r="H32" s="6" t="s">
        <v>14</v>
      </c>
      <c r="I32" s="6" t="s">
        <v>8</v>
      </c>
      <c r="J32" s="6" t="s">
        <v>9</v>
      </c>
    </row>
    <row r="33" spans="2:10" x14ac:dyDescent="0.3">
      <c r="B33" s="2">
        <v>1</v>
      </c>
      <c r="C33" s="2" t="s">
        <v>74</v>
      </c>
      <c r="D33" s="2" t="s">
        <v>75</v>
      </c>
      <c r="E33" s="2" t="s">
        <v>76</v>
      </c>
      <c r="F33" s="2" t="s">
        <v>77</v>
      </c>
      <c r="G33" s="12" t="s">
        <v>78</v>
      </c>
      <c r="H33" s="12" t="s">
        <v>79</v>
      </c>
      <c r="I33" s="2" t="s">
        <v>80</v>
      </c>
      <c r="J33" s="2" t="s">
        <v>81</v>
      </c>
    </row>
    <row r="34" spans="2:10" x14ac:dyDescent="0.3">
      <c r="B34" s="2">
        <v>2</v>
      </c>
      <c r="C34" s="2" t="s">
        <v>82</v>
      </c>
      <c r="D34" s="2" t="s">
        <v>83</v>
      </c>
      <c r="E34" s="2" t="s">
        <v>84</v>
      </c>
      <c r="F34" s="2" t="s">
        <v>27</v>
      </c>
      <c r="G34" s="12" t="s">
        <v>78</v>
      </c>
      <c r="H34" s="12" t="s">
        <v>79</v>
      </c>
      <c r="I34" s="2" t="s">
        <v>85</v>
      </c>
      <c r="J34" s="2" t="s">
        <v>86</v>
      </c>
    </row>
    <row r="35" spans="2:10" x14ac:dyDescent="0.3">
      <c r="B35" s="2">
        <v>3</v>
      </c>
      <c r="C35" s="2" t="s">
        <v>87</v>
      </c>
      <c r="D35" s="2" t="s">
        <v>64</v>
      </c>
      <c r="E35" s="2" t="s">
        <v>88</v>
      </c>
      <c r="F35" s="2" t="s">
        <v>89</v>
      </c>
      <c r="G35" s="12" t="s">
        <v>78</v>
      </c>
      <c r="H35" s="12" t="s">
        <v>79</v>
      </c>
      <c r="I35" s="2" t="s">
        <v>90</v>
      </c>
      <c r="J35" s="2" t="s">
        <v>91</v>
      </c>
    </row>
    <row r="36" spans="2:10" x14ac:dyDescent="0.3">
      <c r="B36" s="2">
        <v>4</v>
      </c>
      <c r="C36" s="2" t="s">
        <v>92</v>
      </c>
      <c r="D36" s="2" t="s">
        <v>83</v>
      </c>
      <c r="E36" s="2" t="s">
        <v>93</v>
      </c>
      <c r="F36" s="2" t="s">
        <v>27</v>
      </c>
      <c r="G36" s="12" t="s">
        <v>94</v>
      </c>
      <c r="H36" s="12" t="s">
        <v>79</v>
      </c>
      <c r="I36" s="2" t="s">
        <v>95</v>
      </c>
      <c r="J36" s="2" t="s">
        <v>96</v>
      </c>
    </row>
    <row r="37" spans="2:10" x14ac:dyDescent="0.3">
      <c r="B37" s="2">
        <v>5</v>
      </c>
      <c r="C37" s="2" t="s">
        <v>97</v>
      </c>
      <c r="D37" s="2" t="s">
        <v>59</v>
      </c>
      <c r="E37" s="2" t="s">
        <v>98</v>
      </c>
      <c r="F37" s="2" t="s">
        <v>99</v>
      </c>
      <c r="G37" s="12" t="s">
        <v>100</v>
      </c>
      <c r="H37" s="12" t="s">
        <v>79</v>
      </c>
      <c r="I37" s="2" t="s">
        <v>67</v>
      </c>
      <c r="J37" s="2" t="s">
        <v>101</v>
      </c>
    </row>
    <row r="38" spans="2:10" x14ac:dyDescent="0.3">
      <c r="B38" s="2">
        <v>6</v>
      </c>
      <c r="C38" s="2" t="s">
        <v>102</v>
      </c>
      <c r="D38" s="2" t="s">
        <v>103</v>
      </c>
      <c r="E38" s="2" t="s">
        <v>104</v>
      </c>
      <c r="F38" s="2" t="s">
        <v>27</v>
      </c>
      <c r="G38" s="12" t="s">
        <v>100</v>
      </c>
      <c r="H38" s="12" t="s">
        <v>79</v>
      </c>
      <c r="I38" s="2" t="s">
        <v>80</v>
      </c>
      <c r="J38" s="2" t="s">
        <v>105</v>
      </c>
    </row>
    <row r="39" spans="2:10" x14ac:dyDescent="0.3">
      <c r="B39" s="2">
        <v>7</v>
      </c>
      <c r="C39" s="2" t="s">
        <v>102</v>
      </c>
      <c r="D39" s="2" t="s">
        <v>41</v>
      </c>
      <c r="E39" s="2" t="s">
        <v>106</v>
      </c>
      <c r="F39" s="2" t="s">
        <v>27</v>
      </c>
      <c r="G39" s="12" t="s">
        <v>100</v>
      </c>
      <c r="H39" s="12" t="s">
        <v>79</v>
      </c>
      <c r="I39" s="2" t="s">
        <v>107</v>
      </c>
      <c r="J39" s="2" t="s">
        <v>49</v>
      </c>
    </row>
    <row r="40" spans="2:10" x14ac:dyDescent="0.3">
      <c r="B40" s="2">
        <v>8</v>
      </c>
      <c r="C40" s="2" t="s">
        <v>108</v>
      </c>
      <c r="D40" s="2" t="s">
        <v>64</v>
      </c>
      <c r="E40" s="2" t="s">
        <v>109</v>
      </c>
      <c r="F40" s="2" t="s">
        <v>27</v>
      </c>
      <c r="G40" s="12" t="s">
        <v>100</v>
      </c>
      <c r="H40" s="12" t="s">
        <v>110</v>
      </c>
      <c r="I40" s="2" t="s">
        <v>111</v>
      </c>
      <c r="J40" s="2" t="s">
        <v>112</v>
      </c>
    </row>
    <row r="41" spans="2:10" x14ac:dyDescent="0.3">
      <c r="B41" s="2">
        <v>9</v>
      </c>
      <c r="C41" s="2" t="s">
        <v>113</v>
      </c>
      <c r="D41" s="2" t="s">
        <v>83</v>
      </c>
      <c r="E41" s="2" t="s">
        <v>114</v>
      </c>
      <c r="F41" s="2" t="s">
        <v>99</v>
      </c>
      <c r="G41" s="12" t="s">
        <v>100</v>
      </c>
      <c r="H41" s="12" t="s">
        <v>79</v>
      </c>
      <c r="I41" s="2" t="s">
        <v>115</v>
      </c>
      <c r="J41" s="2" t="s">
        <v>116</v>
      </c>
    </row>
    <row r="42" spans="2:10" x14ac:dyDescent="0.3">
      <c r="B42" s="2">
        <v>10</v>
      </c>
      <c r="C42" s="2" t="s">
        <v>117</v>
      </c>
      <c r="D42" s="2" t="s">
        <v>103</v>
      </c>
      <c r="E42" s="2" t="s">
        <v>118</v>
      </c>
      <c r="F42" s="2" t="s">
        <v>27</v>
      </c>
      <c r="G42" s="12" t="s">
        <v>119</v>
      </c>
      <c r="H42" s="12" t="s">
        <v>110</v>
      </c>
      <c r="I42" s="2" t="s">
        <v>120</v>
      </c>
      <c r="J42" s="2" t="s">
        <v>121</v>
      </c>
    </row>
    <row r="43" spans="2:10" x14ac:dyDescent="0.3">
      <c r="B43" s="2">
        <v>11</v>
      </c>
      <c r="C43" s="2" t="s">
        <v>122</v>
      </c>
      <c r="D43" s="2" t="s">
        <v>103</v>
      </c>
      <c r="E43" s="2" t="s">
        <v>123</v>
      </c>
      <c r="F43" s="2" t="s">
        <v>27</v>
      </c>
      <c r="G43" s="12" t="s">
        <v>119</v>
      </c>
      <c r="H43" s="12" t="s">
        <v>110</v>
      </c>
      <c r="I43" s="2" t="s">
        <v>80</v>
      </c>
      <c r="J43" s="2" t="s">
        <v>124</v>
      </c>
    </row>
    <row r="44" spans="2:10" x14ac:dyDescent="0.3">
      <c r="B44" s="2">
        <v>12</v>
      </c>
      <c r="C44" s="2" t="s">
        <v>122</v>
      </c>
      <c r="D44" s="2" t="s">
        <v>32</v>
      </c>
      <c r="E44" s="2" t="s">
        <v>125</v>
      </c>
      <c r="F44" s="2" t="s">
        <v>27</v>
      </c>
      <c r="G44" s="12" t="s">
        <v>119</v>
      </c>
      <c r="H44" s="12" t="s">
        <v>79</v>
      </c>
      <c r="I44" s="2" t="s">
        <v>126</v>
      </c>
      <c r="J44" s="2" t="s">
        <v>127</v>
      </c>
    </row>
    <row r="45" spans="2:10" x14ac:dyDescent="0.3">
      <c r="B45" s="2">
        <v>13</v>
      </c>
      <c r="C45" s="2" t="s">
        <v>128</v>
      </c>
      <c r="D45" s="2" t="s">
        <v>59</v>
      </c>
      <c r="E45" s="2" t="s">
        <v>129</v>
      </c>
      <c r="F45" s="2" t="s">
        <v>99</v>
      </c>
      <c r="G45" s="12" t="s">
        <v>119</v>
      </c>
      <c r="H45" s="12" t="s">
        <v>79</v>
      </c>
      <c r="I45" s="2" t="s">
        <v>72</v>
      </c>
      <c r="J45" s="2" t="s">
        <v>130</v>
      </c>
    </row>
    <row r="46" spans="2:10" x14ac:dyDescent="0.3">
      <c r="B46" s="2">
        <v>14</v>
      </c>
      <c r="C46" s="2" t="s">
        <v>128</v>
      </c>
      <c r="D46" s="2" t="s">
        <v>59</v>
      </c>
      <c r="E46" s="2" t="s">
        <v>131</v>
      </c>
      <c r="F46" s="2" t="s">
        <v>99</v>
      </c>
      <c r="G46" s="12" t="s">
        <v>119</v>
      </c>
      <c r="H46" s="12" t="s">
        <v>79</v>
      </c>
      <c r="I46" s="2" t="s">
        <v>72</v>
      </c>
      <c r="J46" s="2" t="s">
        <v>132</v>
      </c>
    </row>
    <row r="47" spans="2:10" x14ac:dyDescent="0.3">
      <c r="B47" s="2">
        <v>15</v>
      </c>
      <c r="C47" s="2" t="s">
        <v>128</v>
      </c>
      <c r="D47" s="2" t="s">
        <v>59</v>
      </c>
      <c r="E47" s="2" t="s">
        <v>133</v>
      </c>
      <c r="F47" s="2" t="s">
        <v>99</v>
      </c>
      <c r="G47" s="12" t="s">
        <v>119</v>
      </c>
      <c r="H47" s="12" t="s">
        <v>79</v>
      </c>
      <c r="I47" s="2" t="s">
        <v>72</v>
      </c>
      <c r="J47" s="2" t="s">
        <v>132</v>
      </c>
    </row>
    <row r="48" spans="2:10" x14ac:dyDescent="0.3">
      <c r="B48" s="2">
        <v>16</v>
      </c>
      <c r="C48" s="2" t="s">
        <v>134</v>
      </c>
      <c r="D48" s="2" t="s">
        <v>103</v>
      </c>
      <c r="E48" s="2" t="s">
        <v>135</v>
      </c>
      <c r="F48" s="2" t="s">
        <v>27</v>
      </c>
      <c r="G48" s="12" t="s">
        <v>79</v>
      </c>
      <c r="H48" s="12" t="s">
        <v>136</v>
      </c>
      <c r="I48" s="2" t="s">
        <v>137</v>
      </c>
      <c r="J48" s="2" t="s">
        <v>138</v>
      </c>
    </row>
    <row r="49" spans="2:10" x14ac:dyDescent="0.3">
      <c r="B49" s="2">
        <v>17</v>
      </c>
      <c r="C49" s="2" t="s">
        <v>63</v>
      </c>
      <c r="D49" s="2" t="s">
        <v>64</v>
      </c>
      <c r="E49" s="2" t="s">
        <v>139</v>
      </c>
      <c r="F49" s="2" t="s">
        <v>27</v>
      </c>
      <c r="G49" s="12" t="s">
        <v>79</v>
      </c>
      <c r="H49" s="12" t="s">
        <v>110</v>
      </c>
      <c r="I49" s="2" t="s">
        <v>140</v>
      </c>
      <c r="J49" s="2" t="s">
        <v>141</v>
      </c>
    </row>
    <row r="50" spans="2:10" x14ac:dyDescent="0.3">
      <c r="B50" s="2">
        <v>18</v>
      </c>
      <c r="C50" s="2" t="s">
        <v>142</v>
      </c>
      <c r="D50" s="2" t="s">
        <v>64</v>
      </c>
      <c r="E50" s="2" t="s">
        <v>143</v>
      </c>
      <c r="F50" s="2" t="s">
        <v>27</v>
      </c>
      <c r="G50" s="12" t="s">
        <v>79</v>
      </c>
      <c r="H50" s="12" t="s">
        <v>79</v>
      </c>
      <c r="I50" s="2" t="s">
        <v>85</v>
      </c>
      <c r="J50" s="2" t="s">
        <v>144</v>
      </c>
    </row>
    <row r="51" spans="2:10" x14ac:dyDescent="0.3">
      <c r="B51" s="2">
        <v>19</v>
      </c>
      <c r="C51" s="2" t="s">
        <v>145</v>
      </c>
      <c r="D51" s="2" t="s">
        <v>59</v>
      </c>
      <c r="E51" s="2" t="s">
        <v>146</v>
      </c>
      <c r="F51" s="2" t="s">
        <v>27</v>
      </c>
      <c r="G51" s="12" t="s">
        <v>79</v>
      </c>
      <c r="H51" s="12" t="s">
        <v>136</v>
      </c>
      <c r="I51" s="2" t="s">
        <v>147</v>
      </c>
      <c r="J51" s="2" t="s">
        <v>148</v>
      </c>
    </row>
    <row r="52" spans="2:10" x14ac:dyDescent="0.3">
      <c r="B52" s="2">
        <v>20</v>
      </c>
      <c r="C52" s="2" t="s">
        <v>31</v>
      </c>
      <c r="D52" s="2" t="s">
        <v>64</v>
      </c>
      <c r="E52" s="2" t="s">
        <v>149</v>
      </c>
      <c r="F52" s="2" t="s">
        <v>150</v>
      </c>
      <c r="G52" s="12" t="s">
        <v>79</v>
      </c>
      <c r="H52" s="12" t="s">
        <v>136</v>
      </c>
      <c r="I52" s="2" t="s">
        <v>151</v>
      </c>
      <c r="J52" s="2" t="s">
        <v>152</v>
      </c>
    </row>
    <row r="53" spans="2:10" x14ac:dyDescent="0.3">
      <c r="B53" s="2">
        <v>21</v>
      </c>
      <c r="C53" s="2" t="s">
        <v>36</v>
      </c>
      <c r="D53" s="2" t="s">
        <v>103</v>
      </c>
      <c r="E53" s="2" t="s">
        <v>153</v>
      </c>
      <c r="F53" s="2" t="s">
        <v>27</v>
      </c>
      <c r="G53" s="12" t="s">
        <v>79</v>
      </c>
      <c r="H53" s="12" t="s">
        <v>136</v>
      </c>
      <c r="I53" s="2" t="s">
        <v>154</v>
      </c>
      <c r="J53" s="2" t="s">
        <v>155</v>
      </c>
    </row>
    <row r="54" spans="2:10" x14ac:dyDescent="0.3">
      <c r="B54" s="2">
        <v>22</v>
      </c>
      <c r="C54" s="2" t="s">
        <v>40</v>
      </c>
      <c r="D54" s="2" t="s">
        <v>32</v>
      </c>
      <c r="E54" s="2" t="s">
        <v>156</v>
      </c>
      <c r="F54" s="2" t="s">
        <v>27</v>
      </c>
      <c r="G54" s="12" t="s">
        <v>79</v>
      </c>
      <c r="H54" s="12" t="s">
        <v>110</v>
      </c>
      <c r="I54" s="2" t="s">
        <v>157</v>
      </c>
      <c r="J54" s="2" t="s">
        <v>158</v>
      </c>
    </row>
    <row r="55" spans="2:10" x14ac:dyDescent="0.3">
      <c r="B55" s="2">
        <v>23</v>
      </c>
      <c r="C55" s="2" t="s">
        <v>159</v>
      </c>
      <c r="D55" s="2" t="s">
        <v>103</v>
      </c>
      <c r="E55" s="2" t="s">
        <v>160</v>
      </c>
      <c r="F55" s="2" t="s">
        <v>27</v>
      </c>
      <c r="G55" s="12" t="s">
        <v>79</v>
      </c>
      <c r="H55" s="12" t="s">
        <v>110</v>
      </c>
      <c r="I55" s="2" t="s">
        <v>161</v>
      </c>
      <c r="J55" s="2" t="s">
        <v>162</v>
      </c>
    </row>
    <row r="56" spans="2:10" x14ac:dyDescent="0.3">
      <c r="B56" s="2">
        <v>24</v>
      </c>
      <c r="C56" s="2" t="s">
        <v>46</v>
      </c>
      <c r="D56" s="2" t="s">
        <v>103</v>
      </c>
      <c r="E56" s="2" t="s">
        <v>163</v>
      </c>
      <c r="F56" s="2" t="s">
        <v>99</v>
      </c>
      <c r="G56" s="12" t="s">
        <v>79</v>
      </c>
      <c r="H56" s="12" t="s">
        <v>136</v>
      </c>
      <c r="I56" s="2" t="s">
        <v>80</v>
      </c>
      <c r="J56" s="2" t="s">
        <v>164</v>
      </c>
    </row>
    <row r="57" spans="2:10" x14ac:dyDescent="0.3">
      <c r="B57" s="2">
        <v>25</v>
      </c>
      <c r="C57" s="2" t="s">
        <v>165</v>
      </c>
      <c r="D57" s="2" t="s">
        <v>64</v>
      </c>
      <c r="E57" s="2" t="s">
        <v>166</v>
      </c>
      <c r="F57" s="2" t="s">
        <v>99</v>
      </c>
      <c r="G57" s="12" t="s">
        <v>79</v>
      </c>
      <c r="H57" s="12" t="s">
        <v>79</v>
      </c>
      <c r="I57" s="2" t="s">
        <v>167</v>
      </c>
      <c r="J57" s="2" t="s">
        <v>168</v>
      </c>
    </row>
    <row r="58" spans="2:10" x14ac:dyDescent="0.3">
      <c r="B58" s="2">
        <v>26</v>
      </c>
      <c r="C58" s="2" t="s">
        <v>165</v>
      </c>
      <c r="D58" s="2" t="s">
        <v>41</v>
      </c>
      <c r="E58" s="2" t="s">
        <v>169</v>
      </c>
      <c r="F58" s="2" t="s">
        <v>77</v>
      </c>
      <c r="G58" s="12" t="s">
        <v>79</v>
      </c>
      <c r="H58" s="12" t="s">
        <v>170</v>
      </c>
      <c r="I58" s="2" t="s">
        <v>48</v>
      </c>
      <c r="J58" s="2" t="s">
        <v>171</v>
      </c>
    </row>
    <row r="59" spans="2:10" x14ac:dyDescent="0.3">
      <c r="B59" s="2">
        <v>27</v>
      </c>
      <c r="C59" s="2" t="s">
        <v>165</v>
      </c>
      <c r="D59" s="2" t="s">
        <v>41</v>
      </c>
      <c r="E59" s="2" t="s">
        <v>172</v>
      </c>
      <c r="F59" s="2" t="s">
        <v>150</v>
      </c>
      <c r="G59" s="12" t="s">
        <v>110</v>
      </c>
      <c r="H59" s="12" t="s">
        <v>110</v>
      </c>
      <c r="I59" s="2" t="s">
        <v>48</v>
      </c>
      <c r="J59" s="2" t="s">
        <v>171</v>
      </c>
    </row>
    <row r="60" spans="2:10" x14ac:dyDescent="0.3">
      <c r="B60" s="2">
        <v>28</v>
      </c>
      <c r="C60" s="2" t="s">
        <v>173</v>
      </c>
      <c r="D60" s="2" t="s">
        <v>103</v>
      </c>
      <c r="E60" s="2" t="s">
        <v>174</v>
      </c>
      <c r="F60" s="2" t="s">
        <v>27</v>
      </c>
      <c r="G60" s="12" t="s">
        <v>110</v>
      </c>
      <c r="H60" s="12" t="s">
        <v>170</v>
      </c>
      <c r="I60" s="2" t="s">
        <v>80</v>
      </c>
      <c r="J60" s="2" t="s">
        <v>175</v>
      </c>
    </row>
    <row r="61" spans="2:10" x14ac:dyDescent="0.3">
      <c r="B61" s="2">
        <v>29</v>
      </c>
      <c r="C61" s="4"/>
      <c r="D61" s="2"/>
      <c r="E61" s="2"/>
      <c r="F61" s="2"/>
      <c r="G61" s="12"/>
      <c r="H61" s="12"/>
      <c r="I61" s="2"/>
      <c r="J61" s="2"/>
    </row>
    <row r="62" spans="2:10" x14ac:dyDescent="0.3">
      <c r="B62" s="1"/>
      <c r="C62" s="1"/>
      <c r="D62" s="1"/>
      <c r="E62" s="1"/>
      <c r="F62" s="1"/>
      <c r="G62" s="14"/>
      <c r="H62" s="14"/>
      <c r="I62" s="1"/>
      <c r="J62" s="1"/>
    </row>
    <row r="63" spans="2:10" ht="20.25" x14ac:dyDescent="0.3">
      <c r="B63" s="72" t="s">
        <v>180</v>
      </c>
      <c r="C63" s="73"/>
      <c r="D63" s="73"/>
      <c r="E63" s="73"/>
      <c r="F63" s="73"/>
      <c r="G63" s="73"/>
      <c r="H63" s="73"/>
      <c r="I63" s="73"/>
      <c r="J63" s="74"/>
    </row>
  </sheetData>
  <customSheetViews>
    <customSheetView guid="{7A761F1B-9457-4EED-8EFC-CFF5C63E791B}" scale="85">
      <selection activeCell="M13" sqref="M13"/>
      <pageMargins left="0.7" right="0.7" top="0.75" bottom="0.75" header="0.3" footer="0.3"/>
    </customSheetView>
  </customSheetViews>
  <mergeCells count="7">
    <mergeCell ref="B63:J63"/>
    <mergeCell ref="B6:J6"/>
    <mergeCell ref="B2:J3"/>
    <mergeCell ref="D4:E4"/>
    <mergeCell ref="D5:E5"/>
    <mergeCell ref="F4:H5"/>
    <mergeCell ref="I4:J5"/>
  </mergeCells>
  <phoneticPr fontId="1" type="noConversion"/>
  <conditionalFormatting sqref="C37:J37 C41:J41 C45:J45 C49:J49 C53:J53 C57:J57 C61:J61 C30:J30">
    <cfRule type="expression" dxfId="39" priority="73">
      <formula>$C31&lt;&gt;" "</formula>
    </cfRule>
    <cfRule type="expression" dxfId="38" priority="76">
      <formula>$C$7</formula>
    </cfRule>
  </conditionalFormatting>
  <conditionalFormatting sqref="C26:J26 C36:J36 C33:J34 B33:B61 C38:J38 C42:J42 C46:J46 C50:J50 C54:J54 C58:J58 C40:J40 C44:J44 C48:J48 C52:J52 C56:J56 C60:J60">
    <cfRule type="expression" dxfId="37" priority="79">
      <formula>$C29&lt;&gt;" "</formula>
    </cfRule>
    <cfRule type="expression" dxfId="36" priority="80">
      <formula>$C$7</formula>
    </cfRule>
  </conditionalFormatting>
  <conditionalFormatting sqref="C27:J27 C35:J35 C39:J39 C43:J43 C47:J47 C51:J51 C55:J55 C59:J59">
    <cfRule type="expression" dxfId="35" priority="71">
      <formula>$C29&lt;&gt;" "</formula>
    </cfRule>
    <cfRule type="expression" dxfId="34" priority="72">
      <formula>$C$7</formula>
    </cfRule>
  </conditionalFormatting>
  <conditionalFormatting sqref="B32:J32">
    <cfRule type="expression" dxfId="33" priority="81">
      <formula>$C37&lt;&gt;" "</formula>
    </cfRule>
    <cfRule type="expression" dxfId="32" priority="82">
      <formula>$C$7</formula>
    </cfRule>
  </conditionalFormatting>
  <conditionalFormatting sqref="B7:J7">
    <cfRule type="expression" dxfId="31" priority="61">
      <formula>$C29&lt;&gt;" "</formula>
    </cfRule>
    <cfRule type="expression" dxfId="30" priority="62">
      <formula>$C$7</formula>
    </cfRule>
  </conditionalFormatting>
  <conditionalFormatting sqref="C19:J22">
    <cfRule type="expression" dxfId="29" priority="95">
      <formula>$C27&lt;&gt;" "</formula>
    </cfRule>
    <cfRule type="expression" dxfId="28" priority="96">
      <formula>$C$7</formula>
    </cfRule>
  </conditionalFormatting>
  <conditionalFormatting sqref="B9:J9">
    <cfRule type="expression" dxfId="27" priority="39">
      <formula>$C12&lt;&gt;" "</formula>
    </cfRule>
    <cfRule type="expression" dxfId="26" priority="40">
      <formula>$C$7</formula>
    </cfRule>
  </conditionalFormatting>
  <conditionalFormatting sqref="C10:J10">
    <cfRule type="expression" dxfId="25" priority="37">
      <formula>$C12&lt;&gt;" "</formula>
    </cfRule>
    <cfRule type="expression" dxfId="24" priority="38">
      <formula>$C$7</formula>
    </cfRule>
  </conditionalFormatting>
  <conditionalFormatting sqref="B11:J11">
    <cfRule type="expression" dxfId="23" priority="41">
      <formula>$B27&lt;&gt;" "</formula>
    </cfRule>
    <cfRule type="expression" dxfId="22" priority="42">
      <formula>$C$7</formula>
    </cfRule>
  </conditionalFormatting>
  <conditionalFormatting sqref="B10 B12:B14">
    <cfRule type="expression" dxfId="21" priority="43">
      <formula>$C26&lt;&gt;" "</formula>
    </cfRule>
    <cfRule type="expression" dxfId="20" priority="44">
      <formula>$C$7</formula>
    </cfRule>
  </conditionalFormatting>
  <conditionalFormatting sqref="B8:J8">
    <cfRule type="expression" dxfId="19" priority="105">
      <formula>$C28&lt;&gt;" "</formula>
    </cfRule>
    <cfRule type="expression" dxfId="18" priority="106">
      <formula>$C$7</formula>
    </cfRule>
  </conditionalFormatting>
  <conditionalFormatting sqref="C12:J16 B18:B30">
    <cfRule type="expression" dxfId="17" priority="115">
      <formula>$C26&lt;&gt;" "</formula>
    </cfRule>
    <cfRule type="expression" dxfId="16" priority="116">
      <formula>$C$7</formula>
    </cfRule>
  </conditionalFormatting>
  <conditionalFormatting sqref="C25:J25 C23:J23">
    <cfRule type="expression" dxfId="15" priority="143">
      <formula>#REF!&lt;&gt;" "</formula>
    </cfRule>
    <cfRule type="expression" dxfId="14" priority="144">
      <formula>$C$7</formula>
    </cfRule>
  </conditionalFormatting>
  <conditionalFormatting sqref="B16">
    <cfRule type="expression" dxfId="13" priority="147">
      <formula>$C31&lt;&gt;" "</formula>
    </cfRule>
    <cfRule type="expression" dxfId="12" priority="148">
      <formula>$C$7</formula>
    </cfRule>
  </conditionalFormatting>
  <conditionalFormatting sqref="B17 B15">
    <cfRule type="expression" dxfId="11" priority="149">
      <formula>#REF!&lt;&gt;" "</formula>
    </cfRule>
    <cfRule type="expression" dxfId="10" priority="150">
      <formula>$C$7</formula>
    </cfRule>
  </conditionalFormatting>
  <conditionalFormatting sqref="C29:J29">
    <cfRule type="expression" dxfId="9" priority="195">
      <formula>#REF!&lt;&gt;" "</formula>
    </cfRule>
    <cfRule type="expression" dxfId="8" priority="196">
      <formula>$C$7</formula>
    </cfRule>
  </conditionalFormatting>
  <conditionalFormatting sqref="C28:J28">
    <cfRule type="expression" dxfId="7" priority="215">
      <formula>$B31&lt;&gt;" "</formula>
    </cfRule>
    <cfRule type="expression" dxfId="6" priority="216">
      <formula>$C$7</formula>
    </cfRule>
  </conditionalFormatting>
  <conditionalFormatting sqref="C24:J24">
    <cfRule type="expression" dxfId="5" priority="219">
      <formula>$C31&lt;&gt;" "</formula>
    </cfRule>
    <cfRule type="expression" dxfId="4" priority="220">
      <formula>$C$7</formula>
    </cfRule>
  </conditionalFormatting>
  <conditionalFormatting sqref="C18:J18">
    <cfRule type="expression" dxfId="3" priority="233">
      <formula>$C31&lt;&gt;" "</formula>
    </cfRule>
    <cfRule type="expression" dxfId="2" priority="234">
      <formula>$C$7</formula>
    </cfRule>
  </conditionalFormatting>
  <conditionalFormatting sqref="C17:J17">
    <cfRule type="expression" dxfId="1" priority="235">
      <formula>#REF!&lt;&gt;" "</formula>
    </cfRule>
    <cfRule type="expression" dxfId="0" priority="236">
      <formula>$C$7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26.04.02</vt:lpstr>
      <vt:lpstr>26.03.26</vt:lpstr>
      <vt:lpstr>26.03.19</vt:lpstr>
      <vt:lpstr>26.03.12</vt:lpstr>
      <vt:lpstr>26.03.05</vt:lpstr>
      <vt:lpstr>26.02.27</vt:lpstr>
      <vt:lpstr>26.02.20</vt:lpstr>
      <vt:lpstr>26.02.13</vt:lpstr>
      <vt:lpstr>26.02.06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cp:lastPrinted>2026-02-24T06:56:56Z</cp:lastPrinted>
  <dcterms:created xsi:type="dcterms:W3CDTF">2026-02-05T02:22:53Z</dcterms:created>
  <dcterms:modified xsi:type="dcterms:W3CDTF">2026-03-26T08:31:59Z</dcterms:modified>
</cp:coreProperties>
</file>